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Sistem Pendukung Keputusan\"/>
    </mc:Choice>
  </mc:AlternateContent>
  <xr:revisionPtr revIDLastSave="0" documentId="13_ncr:1_{9F6464F9-12B0-40E2-94BA-0B11B888593E}" xr6:coauthVersionLast="47" xr6:coauthVersionMax="47" xr10:uidLastSave="{00000000-0000-0000-0000-000000000000}"/>
  <bookViews>
    <workbookView xWindow="-110" yWindow="-110" windowWidth="19420" windowHeight="11500" xr2:uid="{384D77EE-DBBB-4CA9-BD03-B8B98B825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13" i="1" l="1"/>
  <c r="AY12" i="1"/>
  <c r="AV22" i="1"/>
  <c r="AV21" i="1"/>
  <c r="AV20" i="1"/>
  <c r="AV19" i="1"/>
  <c r="AV18" i="1"/>
  <c r="AP38" i="1"/>
  <c r="AP36" i="1"/>
  <c r="AP34" i="1"/>
  <c r="AP32" i="1"/>
  <c r="AP30" i="1"/>
  <c r="AP26" i="1"/>
  <c r="AP24" i="1"/>
  <c r="AP22" i="1"/>
  <c r="AP20" i="1"/>
  <c r="AP18" i="1"/>
  <c r="AT14" i="1"/>
  <c r="AS14" i="1"/>
  <c r="AR14" i="1"/>
  <c r="AQ14" i="1"/>
  <c r="AP14" i="1"/>
  <c r="AU13" i="1"/>
  <c r="AU12" i="1"/>
  <c r="AU11" i="1"/>
  <c r="AS13" i="1"/>
  <c r="AR13" i="1"/>
  <c r="AQ13" i="1"/>
  <c r="AP13" i="1"/>
  <c r="AT12" i="1"/>
  <c r="AR12" i="1"/>
  <c r="AQ12" i="1"/>
  <c r="AP12" i="1"/>
  <c r="AT11" i="1"/>
  <c r="AS11" i="1"/>
  <c r="AQ11" i="1"/>
  <c r="AP11" i="1"/>
  <c r="AT10" i="1"/>
  <c r="AS10" i="1"/>
  <c r="AR10" i="1"/>
  <c r="AP10" i="1"/>
  <c r="AU9" i="1"/>
  <c r="AT9" i="1"/>
  <c r="AS9" i="1"/>
  <c r="AR9" i="1"/>
  <c r="AQ9" i="1"/>
  <c r="R76" i="1" l="1"/>
  <c r="AC33" i="1" s="1"/>
  <c r="AC57" i="1" s="1"/>
  <c r="R75" i="1"/>
  <c r="AC32" i="1" s="1"/>
  <c r="AC56" i="1" s="1"/>
  <c r="R74" i="1"/>
  <c r="AC31" i="1" s="1"/>
  <c r="AC55" i="1" s="1"/>
  <c r="R73" i="1"/>
  <c r="AC30" i="1" s="1"/>
  <c r="AC54" i="1" s="1"/>
  <c r="R72" i="1"/>
  <c r="AC29" i="1" s="1"/>
  <c r="AC53" i="1" s="1"/>
  <c r="R71" i="1"/>
  <c r="AC28" i="1" s="1"/>
  <c r="AC52" i="1" s="1"/>
  <c r="R70" i="1"/>
  <c r="AC27" i="1" s="1"/>
  <c r="AC51" i="1" s="1"/>
  <c r="R69" i="1"/>
  <c r="AC26" i="1" s="1"/>
  <c r="AC50" i="1" s="1"/>
  <c r="R68" i="1"/>
  <c r="AC25" i="1" s="1"/>
  <c r="AC49" i="1" s="1"/>
  <c r="R67" i="1"/>
  <c r="AC24" i="1" s="1"/>
  <c r="AC48" i="1" s="1"/>
  <c r="R66" i="1"/>
  <c r="AC23" i="1" s="1"/>
  <c r="AC47" i="1" s="1"/>
  <c r="R65" i="1"/>
  <c r="AC22" i="1" s="1"/>
  <c r="AC46" i="1" s="1"/>
  <c r="R64" i="1"/>
  <c r="AC21" i="1" s="1"/>
  <c r="AC45" i="1" s="1"/>
  <c r="R63" i="1"/>
  <c r="AC20" i="1" s="1"/>
  <c r="AC44" i="1" s="1"/>
  <c r="R62" i="1"/>
  <c r="AC19" i="1" s="1"/>
  <c r="AC43" i="1" s="1"/>
  <c r="R61" i="1"/>
  <c r="AC18" i="1" s="1"/>
  <c r="AC42" i="1" s="1"/>
  <c r="R60" i="1"/>
  <c r="AC17" i="1" s="1"/>
  <c r="AC41" i="1" s="1"/>
  <c r="R59" i="1"/>
  <c r="AC16" i="1" s="1"/>
  <c r="AC40" i="1" s="1"/>
  <c r="R58" i="1"/>
  <c r="AC15" i="1" s="1"/>
  <c r="AC39" i="1" s="1"/>
  <c r="R57" i="1"/>
  <c r="AC14" i="1" s="1"/>
  <c r="AC38" i="1" s="1"/>
  <c r="R54" i="1"/>
  <c r="AB33" i="1" s="1"/>
  <c r="AB57" i="1" s="1"/>
  <c r="R53" i="1"/>
  <c r="AB32" i="1" s="1"/>
  <c r="AB56" i="1" s="1"/>
  <c r="R52" i="1"/>
  <c r="AB31" i="1" s="1"/>
  <c r="AB55" i="1" s="1"/>
  <c r="R51" i="1"/>
  <c r="AB30" i="1" s="1"/>
  <c r="AB54" i="1" s="1"/>
  <c r="R50" i="1"/>
  <c r="AB29" i="1" s="1"/>
  <c r="AB53" i="1" s="1"/>
  <c r="R49" i="1"/>
  <c r="AB28" i="1" s="1"/>
  <c r="AB52" i="1" s="1"/>
  <c r="R48" i="1"/>
  <c r="AB27" i="1" s="1"/>
  <c r="AB51" i="1" s="1"/>
  <c r="R47" i="1"/>
  <c r="AB26" i="1" s="1"/>
  <c r="AB50" i="1" s="1"/>
  <c r="R46" i="1"/>
  <c r="AB25" i="1" s="1"/>
  <c r="AB49" i="1" s="1"/>
  <c r="R45" i="1"/>
  <c r="AB24" i="1" s="1"/>
  <c r="AB48" i="1" s="1"/>
  <c r="R44" i="1"/>
  <c r="AB23" i="1" s="1"/>
  <c r="AB47" i="1" s="1"/>
  <c r="R42" i="1"/>
  <c r="AB21" i="1" s="1"/>
  <c r="AB45" i="1" s="1"/>
  <c r="R43" i="1"/>
  <c r="AB22" i="1" s="1"/>
  <c r="AB46" i="1" s="1"/>
  <c r="R41" i="1"/>
  <c r="AB20" i="1" s="1"/>
  <c r="AB44" i="1" s="1"/>
  <c r="R40" i="1"/>
  <c r="AB19" i="1" s="1"/>
  <c r="AB43" i="1" s="1"/>
  <c r="R39" i="1"/>
  <c r="AB18" i="1" s="1"/>
  <c r="AB42" i="1" s="1"/>
  <c r="R38" i="1"/>
  <c r="AB17" i="1" s="1"/>
  <c r="AB41" i="1" s="1"/>
  <c r="R37" i="1"/>
  <c r="AB16" i="1" s="1"/>
  <c r="AB40" i="1" s="1"/>
  <c r="R36" i="1"/>
  <c r="AB15" i="1" s="1"/>
  <c r="AB39" i="1" s="1"/>
  <c r="R35" i="1"/>
  <c r="AB14" i="1" s="1"/>
  <c r="AB38" i="1" s="1"/>
  <c r="R32" i="1"/>
  <c r="AA33" i="1" s="1"/>
  <c r="AA57" i="1" s="1"/>
  <c r="R31" i="1"/>
  <c r="AA32" i="1" s="1"/>
  <c r="AA56" i="1" s="1"/>
  <c r="R30" i="1"/>
  <c r="AA31" i="1" s="1"/>
  <c r="AA55" i="1" s="1"/>
  <c r="R29" i="1"/>
  <c r="AA30" i="1" s="1"/>
  <c r="AA54" i="1" s="1"/>
  <c r="R28" i="1"/>
  <c r="AA29" i="1" s="1"/>
  <c r="AA53" i="1" s="1"/>
  <c r="R27" i="1"/>
  <c r="AA28" i="1" s="1"/>
  <c r="AA52" i="1" s="1"/>
  <c r="R26" i="1"/>
  <c r="AA27" i="1" s="1"/>
  <c r="AA51" i="1" s="1"/>
  <c r="R25" i="1"/>
  <c r="AA26" i="1" s="1"/>
  <c r="AA50" i="1" s="1"/>
  <c r="R24" i="1"/>
  <c r="AA25" i="1" s="1"/>
  <c r="AA49" i="1" s="1"/>
  <c r="R23" i="1"/>
  <c r="AA24" i="1" s="1"/>
  <c r="AA48" i="1" s="1"/>
  <c r="R22" i="1"/>
  <c r="AA23" i="1" s="1"/>
  <c r="AA47" i="1" s="1"/>
  <c r="R21" i="1"/>
  <c r="AA22" i="1" s="1"/>
  <c r="AA46" i="1" s="1"/>
  <c r="R20" i="1"/>
  <c r="AA21" i="1" s="1"/>
  <c r="AA45" i="1" s="1"/>
  <c r="R19" i="1"/>
  <c r="AA20" i="1" s="1"/>
  <c r="AA44" i="1" s="1"/>
  <c r="R18" i="1"/>
  <c r="AA19" i="1" s="1"/>
  <c r="AA43" i="1" s="1"/>
  <c r="R17" i="1"/>
  <c r="AA18" i="1" s="1"/>
  <c r="AA42" i="1" s="1"/>
  <c r="R16" i="1"/>
  <c r="AA17" i="1" s="1"/>
  <c r="AA41" i="1" s="1"/>
  <c r="R15" i="1"/>
  <c r="AA16" i="1" s="1"/>
  <c r="AA40" i="1" s="1"/>
  <c r="R14" i="1"/>
  <c r="AA15" i="1" s="1"/>
  <c r="AA39" i="1" s="1"/>
  <c r="R13" i="1"/>
  <c r="AA14" i="1" s="1"/>
  <c r="AA38" i="1" s="1"/>
  <c r="O98" i="1"/>
  <c r="Z33" i="1" s="1"/>
  <c r="Z57" i="1" s="1"/>
  <c r="O97" i="1"/>
  <c r="Z32" i="1" s="1"/>
  <c r="Z56" i="1" s="1"/>
  <c r="O96" i="1"/>
  <c r="Z31" i="1" s="1"/>
  <c r="Z55" i="1" s="1"/>
  <c r="O95" i="1"/>
  <c r="Z30" i="1" s="1"/>
  <c r="Z54" i="1" s="1"/>
  <c r="O94" i="1"/>
  <c r="Z29" i="1" s="1"/>
  <c r="Z53" i="1" s="1"/>
  <c r="O93" i="1"/>
  <c r="Z28" i="1" s="1"/>
  <c r="Z52" i="1" s="1"/>
  <c r="O92" i="1"/>
  <c r="Z27" i="1" s="1"/>
  <c r="Z51" i="1" s="1"/>
  <c r="O91" i="1"/>
  <c r="Z26" i="1" s="1"/>
  <c r="Z50" i="1" s="1"/>
  <c r="O90" i="1"/>
  <c r="Z25" i="1" s="1"/>
  <c r="Z49" i="1" s="1"/>
  <c r="O89" i="1"/>
  <c r="Z24" i="1" s="1"/>
  <c r="Z48" i="1" s="1"/>
  <c r="O88" i="1"/>
  <c r="Z23" i="1" s="1"/>
  <c r="Z47" i="1" s="1"/>
  <c r="O87" i="1"/>
  <c r="Z22" i="1" s="1"/>
  <c r="Z46" i="1" s="1"/>
  <c r="O86" i="1"/>
  <c r="Z21" i="1" s="1"/>
  <c r="Z45" i="1" s="1"/>
  <c r="O85" i="1"/>
  <c r="Z20" i="1" s="1"/>
  <c r="Z44" i="1" s="1"/>
  <c r="O84" i="1"/>
  <c r="Z19" i="1" s="1"/>
  <c r="Z43" i="1" s="1"/>
  <c r="O83" i="1"/>
  <c r="Z18" i="1" s="1"/>
  <c r="O82" i="1"/>
  <c r="Z17" i="1" s="1"/>
  <c r="Z41" i="1" s="1"/>
  <c r="O81" i="1"/>
  <c r="Z16" i="1" s="1"/>
  <c r="Z40" i="1" s="1"/>
  <c r="O80" i="1"/>
  <c r="Z15" i="1" s="1"/>
  <c r="Z39" i="1" s="1"/>
  <c r="O79" i="1"/>
  <c r="Z14" i="1" s="1"/>
  <c r="Z38" i="1" s="1"/>
  <c r="O76" i="1"/>
  <c r="Y33" i="1" s="1"/>
  <c r="Y57" i="1" s="1"/>
  <c r="O75" i="1"/>
  <c r="Y32" i="1" s="1"/>
  <c r="Y56" i="1" s="1"/>
  <c r="O74" i="1"/>
  <c r="Y31" i="1" s="1"/>
  <c r="Y55" i="1" s="1"/>
  <c r="O73" i="1"/>
  <c r="Y30" i="1" s="1"/>
  <c r="Y54" i="1" s="1"/>
  <c r="O72" i="1"/>
  <c r="Y29" i="1" s="1"/>
  <c r="Y53" i="1" s="1"/>
  <c r="O71" i="1"/>
  <c r="Y28" i="1" s="1"/>
  <c r="Y52" i="1" s="1"/>
  <c r="O70" i="1"/>
  <c r="Y27" i="1" s="1"/>
  <c r="Y51" i="1" s="1"/>
  <c r="O69" i="1"/>
  <c r="Y26" i="1" s="1"/>
  <c r="Y50" i="1" s="1"/>
  <c r="O68" i="1"/>
  <c r="Y25" i="1" s="1"/>
  <c r="Y49" i="1" s="1"/>
  <c r="O67" i="1"/>
  <c r="Y24" i="1" s="1"/>
  <c r="Y48" i="1" s="1"/>
  <c r="O66" i="1"/>
  <c r="Y23" i="1" s="1"/>
  <c r="Y47" i="1" s="1"/>
  <c r="O65" i="1"/>
  <c r="Y22" i="1" s="1"/>
  <c r="Y46" i="1" s="1"/>
  <c r="O64" i="1"/>
  <c r="Y21" i="1" s="1"/>
  <c r="Y45" i="1" s="1"/>
  <c r="O63" i="1"/>
  <c r="Y20" i="1" s="1"/>
  <c r="Y44" i="1" s="1"/>
  <c r="O62" i="1"/>
  <c r="Y19" i="1" s="1"/>
  <c r="Y43" i="1" s="1"/>
  <c r="O61" i="1"/>
  <c r="Y18" i="1" s="1"/>
  <c r="Y42" i="1" s="1"/>
  <c r="O60" i="1"/>
  <c r="Y17" i="1" s="1"/>
  <c r="Y41" i="1" s="1"/>
  <c r="O59" i="1"/>
  <c r="Y16" i="1" s="1"/>
  <c r="Y40" i="1" s="1"/>
  <c r="O58" i="1"/>
  <c r="Y15" i="1" s="1"/>
  <c r="Y39" i="1" s="1"/>
  <c r="O57" i="1"/>
  <c r="Y14" i="1" s="1"/>
  <c r="Y38" i="1" s="1"/>
  <c r="O54" i="1"/>
  <c r="X33" i="1" s="1"/>
  <c r="X57" i="1" s="1"/>
  <c r="O53" i="1"/>
  <c r="X32" i="1" s="1"/>
  <c r="X56" i="1" s="1"/>
  <c r="O52" i="1"/>
  <c r="X31" i="1" s="1"/>
  <c r="X55" i="1" s="1"/>
  <c r="O51" i="1"/>
  <c r="X30" i="1" s="1"/>
  <c r="X54" i="1" s="1"/>
  <c r="O50" i="1"/>
  <c r="X29" i="1" s="1"/>
  <c r="X53" i="1" s="1"/>
  <c r="O49" i="1"/>
  <c r="X28" i="1" s="1"/>
  <c r="X52" i="1" s="1"/>
  <c r="O48" i="1"/>
  <c r="X27" i="1" s="1"/>
  <c r="X51" i="1" s="1"/>
  <c r="O47" i="1"/>
  <c r="X26" i="1" s="1"/>
  <c r="X50" i="1" s="1"/>
  <c r="O46" i="1"/>
  <c r="X25" i="1" s="1"/>
  <c r="X49" i="1" s="1"/>
  <c r="O45" i="1"/>
  <c r="X24" i="1" s="1"/>
  <c r="X48" i="1" s="1"/>
  <c r="O44" i="1"/>
  <c r="X23" i="1" s="1"/>
  <c r="X47" i="1" s="1"/>
  <c r="O43" i="1"/>
  <c r="X22" i="1" s="1"/>
  <c r="X46" i="1" s="1"/>
  <c r="O42" i="1"/>
  <c r="X21" i="1" s="1"/>
  <c r="X45" i="1" s="1"/>
  <c r="O41" i="1"/>
  <c r="X20" i="1" s="1"/>
  <c r="X44" i="1" s="1"/>
  <c r="O40" i="1"/>
  <c r="X19" i="1" s="1"/>
  <c r="X43" i="1" s="1"/>
  <c r="O39" i="1"/>
  <c r="X18" i="1" s="1"/>
  <c r="X42" i="1" s="1"/>
  <c r="O38" i="1"/>
  <c r="X17" i="1" s="1"/>
  <c r="X41" i="1" s="1"/>
  <c r="O37" i="1"/>
  <c r="X16" i="1" s="1"/>
  <c r="X40" i="1" s="1"/>
  <c r="O36" i="1"/>
  <c r="X15" i="1" s="1"/>
  <c r="X39" i="1" s="1"/>
  <c r="O35" i="1"/>
  <c r="X14" i="1" s="1"/>
  <c r="X38" i="1" s="1"/>
  <c r="O32" i="1"/>
  <c r="W33" i="1" s="1"/>
  <c r="W57" i="1" s="1"/>
  <c r="O31" i="1"/>
  <c r="W32" i="1" s="1"/>
  <c r="W56" i="1" s="1"/>
  <c r="O30" i="1"/>
  <c r="W31" i="1" s="1"/>
  <c r="W55" i="1" s="1"/>
  <c r="O29" i="1"/>
  <c r="W30" i="1" s="1"/>
  <c r="W54" i="1" s="1"/>
  <c r="O28" i="1"/>
  <c r="W29" i="1" s="1"/>
  <c r="W53" i="1" s="1"/>
  <c r="O27" i="1"/>
  <c r="W28" i="1" s="1"/>
  <c r="W52" i="1" s="1"/>
  <c r="O26" i="1"/>
  <c r="W27" i="1" s="1"/>
  <c r="W51" i="1" s="1"/>
  <c r="O25" i="1"/>
  <c r="W26" i="1" s="1"/>
  <c r="W50" i="1" s="1"/>
  <c r="O24" i="1"/>
  <c r="W25" i="1" s="1"/>
  <c r="W49" i="1" s="1"/>
  <c r="O23" i="1"/>
  <c r="W24" i="1" s="1"/>
  <c r="W48" i="1" s="1"/>
  <c r="O22" i="1"/>
  <c r="W23" i="1" s="1"/>
  <c r="W47" i="1" s="1"/>
  <c r="O21" i="1"/>
  <c r="W22" i="1" s="1"/>
  <c r="W46" i="1" s="1"/>
  <c r="O20" i="1"/>
  <c r="W21" i="1" s="1"/>
  <c r="W45" i="1" s="1"/>
  <c r="O19" i="1"/>
  <c r="W20" i="1" s="1"/>
  <c r="W44" i="1" s="1"/>
  <c r="O18" i="1"/>
  <c r="W19" i="1" s="1"/>
  <c r="W43" i="1" s="1"/>
  <c r="O17" i="1"/>
  <c r="W18" i="1" s="1"/>
  <c r="W42" i="1" s="1"/>
  <c r="O16" i="1"/>
  <c r="W17" i="1" s="1"/>
  <c r="W41" i="1" s="1"/>
  <c r="O15" i="1"/>
  <c r="W16" i="1" s="1"/>
  <c r="W40" i="1" s="1"/>
  <c r="O14" i="1"/>
  <c r="W15" i="1" s="1"/>
  <c r="W39" i="1" s="1"/>
  <c r="O13" i="1"/>
  <c r="W14" i="1" s="1"/>
  <c r="W38" i="1" s="1"/>
  <c r="AJ36" i="1" l="1"/>
  <c r="AF56" i="1" s="1"/>
  <c r="AJ38" i="1"/>
  <c r="AG56" i="1" s="1"/>
  <c r="AJ32" i="1"/>
  <c r="AI55" i="1" s="1"/>
  <c r="AJ44" i="1"/>
  <c r="AF57" i="1" s="1"/>
  <c r="AJ42" i="1"/>
  <c r="AJ56" i="1" s="1"/>
  <c r="AJ22" i="1"/>
  <c r="AH54" i="1" s="1"/>
  <c r="AJ40" i="1"/>
  <c r="AH56" i="1" s="1"/>
  <c r="AJ12" i="1"/>
  <c r="AG53" i="1" s="1"/>
  <c r="AJ14" i="1"/>
  <c r="AH53" i="1" s="1"/>
  <c r="AJ16" i="1"/>
  <c r="AI53" i="1" s="1"/>
  <c r="AJ30" i="1"/>
  <c r="AG55" i="1" s="1"/>
  <c r="AJ28" i="1"/>
  <c r="AF55" i="1" s="1"/>
  <c r="AJ50" i="1"/>
  <c r="AI57" i="1" s="1"/>
  <c r="AJ24" i="1"/>
  <c r="AI54" i="1" s="1"/>
  <c r="AJ34" i="1"/>
  <c r="AJ55" i="1" s="1"/>
  <c r="AJ46" i="1"/>
  <c r="AG57" i="1" s="1"/>
  <c r="AJ48" i="1"/>
  <c r="AH57" i="1" s="1"/>
  <c r="AJ18" i="1"/>
  <c r="AJ53" i="1" s="1"/>
  <c r="AJ26" i="1"/>
  <c r="AJ54" i="1" s="1"/>
  <c r="Z42" i="1"/>
  <c r="AJ20" i="1" s="1"/>
  <c r="AF54" i="1" s="1"/>
  <c r="AY11" i="1" l="1"/>
  <c r="AU10" i="1"/>
  <c r="AY9" i="1" l="1"/>
  <c r="AY10" i="1"/>
</calcChain>
</file>

<file path=xl/sharedStrings.xml><?xml version="1.0" encoding="utf-8"?>
<sst xmlns="http://schemas.openxmlformats.org/spreadsheetml/2006/main" count="176" uniqueCount="86">
  <si>
    <t>PROMETHEE</t>
  </si>
  <si>
    <t xml:space="preserve">Kriteria : </t>
  </si>
  <si>
    <t>Kode</t>
  </si>
  <si>
    <t>Kriteria</t>
  </si>
  <si>
    <t>C1</t>
  </si>
  <si>
    <t>C2</t>
  </si>
  <si>
    <t>C3</t>
  </si>
  <si>
    <t>C4</t>
  </si>
  <si>
    <t>C5</t>
  </si>
  <si>
    <t xml:space="preserve">Alternatif : </t>
  </si>
  <si>
    <t>Alternatif</t>
  </si>
  <si>
    <t>A1</t>
  </si>
  <si>
    <t>A2</t>
  </si>
  <si>
    <t>A3</t>
  </si>
  <si>
    <t>Langkah 1 :</t>
  </si>
  <si>
    <t>Perhitungan nilai preferensi kriteria</t>
  </si>
  <si>
    <t>A1,A2</t>
  </si>
  <si>
    <t>A1,A3</t>
  </si>
  <si>
    <t>A2,A1</t>
  </si>
  <si>
    <t>A2,A3</t>
  </si>
  <si>
    <t>A3,A1</t>
  </si>
  <si>
    <t>A3,A2</t>
  </si>
  <si>
    <t xml:space="preserve">Nilai h tiap kriteria : </t>
  </si>
  <si>
    <t xml:space="preserve">Langkah 2 : </t>
  </si>
  <si>
    <t>Perhitungan indeks preferensi multikriteria</t>
  </si>
  <si>
    <t>Langkah 3 :</t>
  </si>
  <si>
    <t>Menghitung nilai leaving flow, entering flow dan net flow</t>
  </si>
  <si>
    <t>Jumlah Tiap Baris</t>
  </si>
  <si>
    <t>Jumlah Tiap Kolom</t>
  </si>
  <si>
    <t>Leaving flow :</t>
  </si>
  <si>
    <t>Entering flow :</t>
  </si>
  <si>
    <t>Net Flow:</t>
  </si>
  <si>
    <t xml:space="preserve">Langkah 4 : </t>
  </si>
  <si>
    <t>Perhitungan nilai akhir dengan perangkingan</t>
  </si>
  <si>
    <t>Net Flow</t>
  </si>
  <si>
    <t>Bobot</t>
  </si>
  <si>
    <t>Rank</t>
  </si>
  <si>
    <t>A4</t>
  </si>
  <si>
    <t>A5</t>
  </si>
  <si>
    <t>Harga</t>
  </si>
  <si>
    <t>Prosesor</t>
  </si>
  <si>
    <t>RAM</t>
  </si>
  <si>
    <t>C6</t>
  </si>
  <si>
    <t>C7</t>
  </si>
  <si>
    <t>Baterai</t>
  </si>
  <si>
    <t>Storage</t>
  </si>
  <si>
    <t>GPU</t>
  </si>
  <si>
    <t>Berat</t>
  </si>
  <si>
    <t>ASUS VivoBook Pro 14 OLED</t>
  </si>
  <si>
    <t>Lenovo ThinkBook 14 Gen 6</t>
  </si>
  <si>
    <t>Acer Swift Go 14</t>
  </si>
  <si>
    <t>ASUS ROG Zephyrus G14</t>
  </si>
  <si>
    <t>MacBook Air M3 (13")</t>
  </si>
  <si>
    <t xml:space="preserve">Data : </t>
  </si>
  <si>
    <t>Tipe</t>
  </si>
  <si>
    <t>Cost</t>
  </si>
  <si>
    <t>Benefit</t>
  </si>
  <si>
    <t>a. Kriteria C1 (Cost)</t>
  </si>
  <si>
    <t>b. Kriteria C2 (Benef)</t>
  </si>
  <si>
    <t>c. Kriteria C3 (Benef)</t>
  </si>
  <si>
    <t>A1,A4</t>
  </si>
  <si>
    <t>A1,A5</t>
  </si>
  <si>
    <t>A2,A4</t>
  </si>
  <si>
    <t>A2,A5</t>
  </si>
  <si>
    <t>A3,A4</t>
  </si>
  <si>
    <t>A3,A5</t>
  </si>
  <si>
    <t>A4,A1</t>
  </si>
  <si>
    <t>A4,A2</t>
  </si>
  <si>
    <t>A4,A3</t>
  </si>
  <si>
    <t>A4,A5</t>
  </si>
  <si>
    <t>A5,A1</t>
  </si>
  <si>
    <t>A5,A2</t>
  </si>
  <si>
    <t>A5,A3</t>
  </si>
  <si>
    <t>A5,A4</t>
  </si>
  <si>
    <t>d. Kriteria C4 (Benef0</t>
  </si>
  <si>
    <t>f. Kriteria C6 (Benef)</t>
  </si>
  <si>
    <t>e. Kriteria C5 (Benef)</t>
  </si>
  <si>
    <t>g. Kriteria C7 (Cost)</t>
  </si>
  <si>
    <t>Nilai preferensi dari nilai h :</t>
  </si>
  <si>
    <t>-</t>
  </si>
  <si>
    <t>0.2857 - 0.4643 =</t>
  </si>
  <si>
    <t>0.2143 - 0.5714 =</t>
  </si>
  <si>
    <t>0.4286 - 0.3571 =</t>
  </si>
  <si>
    <t>0.5357 - 0.4286 =</t>
  </si>
  <si>
    <t>0.5714 - 0.2143 =</t>
  </si>
  <si>
    <t>Nilai terbesar ada pada A5 = 0,35714 sehinga A5 adalah alternatif yang terpilih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</si>
</sst>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1" formatCode="0.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0" xfId="1" applyNumberFormat="1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1" applyNumberFormat="1" applyFont="1" applyAlignment="1">
      <alignment horizontal="center"/>
    </xf>
    <xf numFmtId="3" fontId="1" fillId="0" borderId="0" xfId="1" applyNumberFormat="1" applyFont="1" applyAlignment="1">
      <alignment horizontal="center"/>
    </xf>
    <xf numFmtId="4" fontId="1" fillId="0" borderId="0" xfId="1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71" fontId="1" fillId="0" borderId="1" xfId="0" applyNumberFormat="1" applyFont="1" applyBorder="1" applyAlignment="1">
      <alignment horizontal="center"/>
    </xf>
    <xf numFmtId="171" fontId="1" fillId="0" borderId="0" xfId="0" applyNumberFormat="1" applyFont="1" applyAlignment="1">
      <alignment horizontal="center"/>
    </xf>
    <xf numFmtId="171" fontId="0" fillId="0" borderId="0" xfId="0" applyNumberFormat="1"/>
    <xf numFmtId="171" fontId="1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221104</xdr:colOff>
      <xdr:row>6</xdr:row>
      <xdr:rowOff>119042</xdr:rowOff>
    </xdr:from>
    <xdr:to>
      <xdr:col>16</xdr:col>
      <xdr:colOff>540011</xdr:colOff>
      <xdr:row>9</xdr:row>
      <xdr:rowOff>156395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6E066-F70B-FBC3-F975-27DD59D3C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5649" y="1273587"/>
          <a:ext cx="2310498" cy="614626"/>
        </a:xfrm>
        <a:prstGeom prst="rect">
          <a:avLst/>
        </a:prstGeom>
      </xdr:spPr>
    </xdr:pic>
    <xdr:clientData/>
  </xdr:twoCellAnchor>
  <xdr:oneCellAnchor>
    <xdr:from>
      <xdr:col>13</xdr:col>
      <xdr:colOff>78074</xdr:colOff>
      <xdr:row>11</xdr:row>
      <xdr:rowOff>182172</xdr:rowOff>
    </xdr:from>
    <xdr:ext cx="800343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B2CB3AF-A0DF-4009-BF23-56C4C5E7944D}"/>
                </a:ext>
              </a:extLst>
            </xdr:cNvPr>
            <xdr:cNvSpPr txBox="1"/>
          </xdr:nvSpPr>
          <xdr:spPr>
            <a:xfrm>
              <a:off x="8883407" y="2394089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B2CB3AF-A0DF-4009-BF23-56C4C5E7944D}"/>
                </a:ext>
              </a:extLst>
            </xdr:cNvPr>
            <xdr:cNvSpPr txBox="1"/>
          </xdr:nvSpPr>
          <xdr:spPr>
            <a:xfrm>
              <a:off x="8883407" y="2394089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12</xdr:row>
      <xdr:rowOff>182172</xdr:rowOff>
    </xdr:from>
    <xdr:ext cx="891435" cy="2260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25A81C-3AA5-464B-8116-3732B4DFB212}"/>
                </a:ext>
              </a:extLst>
            </xdr:cNvPr>
            <xdr:cNvSpPr txBox="1"/>
          </xdr:nvSpPr>
          <xdr:spPr>
            <a:xfrm>
              <a:off x="8883029" y="2563422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25A81C-3AA5-464B-8116-3732B4DFB212}"/>
                </a:ext>
              </a:extLst>
            </xdr:cNvPr>
            <xdr:cNvSpPr txBox="1"/>
          </xdr:nvSpPr>
          <xdr:spPr>
            <a:xfrm>
              <a:off x="8883029" y="2563422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13</xdr:row>
      <xdr:rowOff>182171</xdr:rowOff>
    </xdr:from>
    <xdr:ext cx="868757" cy="2317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23BE742-8E3D-43EA-92CF-7669B51D40F0}"/>
                </a:ext>
              </a:extLst>
            </xdr:cNvPr>
            <xdr:cNvSpPr txBox="1"/>
          </xdr:nvSpPr>
          <xdr:spPr>
            <a:xfrm>
              <a:off x="8883029" y="2761859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23BE742-8E3D-43EA-92CF-7669B51D40F0}"/>
                </a:ext>
              </a:extLst>
            </xdr:cNvPr>
            <xdr:cNvSpPr txBox="1"/>
          </xdr:nvSpPr>
          <xdr:spPr>
            <a:xfrm>
              <a:off x="8883029" y="2761859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14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CFD60BB-5451-4E30-9A4D-3BCA82634B87}"/>
                </a:ext>
              </a:extLst>
            </xdr:cNvPr>
            <xdr:cNvSpPr txBox="1"/>
          </xdr:nvSpPr>
          <xdr:spPr>
            <a:xfrm>
              <a:off x="7376925" y="254700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CFD60BB-5451-4E30-9A4D-3BCA82634B87}"/>
                </a:ext>
              </a:extLst>
            </xdr:cNvPr>
            <xdr:cNvSpPr txBox="1"/>
          </xdr:nvSpPr>
          <xdr:spPr>
            <a:xfrm>
              <a:off x="7376925" y="254700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twoCellAnchor editAs="oneCell">
    <xdr:from>
      <xdr:col>30</xdr:col>
      <xdr:colOff>104589</xdr:colOff>
      <xdr:row>6</xdr:row>
      <xdr:rowOff>74705</xdr:rowOff>
    </xdr:from>
    <xdr:to>
      <xdr:col>35</xdr:col>
      <xdr:colOff>410478</xdr:colOff>
      <xdr:row>9</xdr:row>
      <xdr:rowOff>124884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63887D0-119A-8431-04A9-572B524ABE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765"/>
        <a:stretch/>
      </xdr:blipFill>
      <xdr:spPr>
        <a:xfrm>
          <a:off x="12431060" y="1240117"/>
          <a:ext cx="3593353" cy="632885"/>
        </a:xfrm>
        <a:prstGeom prst="rect">
          <a:avLst/>
        </a:prstGeom>
      </xdr:spPr>
    </xdr:pic>
    <xdr:clientData/>
  </xdr:twoCellAnchor>
  <xdr:oneCellAnchor>
    <xdr:from>
      <xdr:col>30</xdr:col>
      <xdr:colOff>20986</xdr:colOff>
      <xdr:row>11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FDD94C2-440D-4464-6262-33C456E44FB9}"/>
                </a:ext>
              </a:extLst>
            </xdr:cNvPr>
            <xdr:cNvSpPr txBox="1"/>
          </xdr:nvSpPr>
          <xdr:spPr>
            <a:xfrm>
              <a:off x="12326423" y="2175622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FDD94C2-440D-4464-6262-33C456E44FB9}"/>
                </a:ext>
              </a:extLst>
            </xdr:cNvPr>
            <xdr:cNvSpPr txBox="1"/>
          </xdr:nvSpPr>
          <xdr:spPr>
            <a:xfrm>
              <a:off x="12326423" y="2175622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(𝑎1,𝑎2)=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124305</xdr:colOff>
      <xdr:row>10</xdr:row>
      <xdr:rowOff>117762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6B83BFE0-EAF6-9D7A-901E-2399C992AF15}"/>
                </a:ext>
              </a:extLst>
            </xdr:cNvPr>
            <xdr:cNvSpPr txBox="1"/>
          </xdr:nvSpPr>
          <xdr:spPr>
            <a:xfrm>
              <a:off x="21505538" y="2118447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1+0+1+0+0+1+0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6B83BFE0-EAF6-9D7A-901E-2399C992AF15}"/>
                </a:ext>
              </a:extLst>
            </xdr:cNvPr>
            <xdr:cNvSpPr txBox="1"/>
          </xdr:nvSpPr>
          <xdr:spPr>
            <a:xfrm>
              <a:off x="21505538" y="2118447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( 1+0+1+0+0+1+0 )=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13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B7D342E-88E8-4059-961D-62ABB2F4811C}"/>
                </a:ext>
              </a:extLst>
            </xdr:cNvPr>
            <xdr:cNvSpPr txBox="1"/>
          </xdr:nvSpPr>
          <xdr:spPr>
            <a:xfrm>
              <a:off x="12288924" y="2558618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B7D342E-88E8-4059-961D-62ABB2F4811C}"/>
                </a:ext>
              </a:extLst>
            </xdr:cNvPr>
            <xdr:cNvSpPr txBox="1"/>
          </xdr:nvSpPr>
          <xdr:spPr>
            <a:xfrm>
              <a:off x="12288924" y="2558618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(𝑎1,𝑎3)=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15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D85B9CA9-327F-46B9-A2F9-BDAC30DE53D4}"/>
                </a:ext>
              </a:extLst>
            </xdr:cNvPr>
            <xdr:cNvSpPr txBox="1"/>
          </xdr:nvSpPr>
          <xdr:spPr>
            <a:xfrm>
              <a:off x="20628041" y="3006552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D85B9CA9-327F-46B9-A2F9-BDAC30DE53D4}"/>
                </a:ext>
              </a:extLst>
            </xdr:cNvPr>
            <xdr:cNvSpPr txBox="1"/>
          </xdr:nvSpPr>
          <xdr:spPr>
            <a:xfrm>
              <a:off x="20628041" y="3006552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(𝑎1,𝑎4)=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17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8092E172-40BC-4080-9C8D-87605E273F8E}"/>
                </a:ext>
              </a:extLst>
            </xdr:cNvPr>
            <xdr:cNvSpPr txBox="1"/>
          </xdr:nvSpPr>
          <xdr:spPr>
            <a:xfrm>
              <a:off x="20628041" y="3406689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5)=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8092E172-40BC-4080-9C8D-87605E273F8E}"/>
                </a:ext>
              </a:extLst>
            </xdr:cNvPr>
            <xdr:cNvSpPr txBox="1"/>
          </xdr:nvSpPr>
          <xdr:spPr>
            <a:xfrm>
              <a:off x="20628041" y="3406689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(𝑎1,𝑎5)=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37</xdr:col>
      <xdr:colOff>130592</xdr:colOff>
      <xdr:row>7</xdr:row>
      <xdr:rowOff>54630</xdr:rowOff>
    </xdr:from>
    <xdr:to>
      <xdr:col>39</xdr:col>
      <xdr:colOff>478982</xdr:colOff>
      <xdr:row>14</xdr:row>
      <xdr:rowOff>109142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F51A399-D854-9A2C-43B0-16571D4EA6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46" r="1008"/>
        <a:stretch/>
      </xdr:blipFill>
      <xdr:spPr>
        <a:xfrm>
          <a:off x="16769576" y="1443693"/>
          <a:ext cx="1777141" cy="1443574"/>
        </a:xfrm>
        <a:prstGeom prst="rect">
          <a:avLst/>
        </a:prstGeom>
      </xdr:spPr>
    </xdr:pic>
    <xdr:clientData/>
  </xdr:twoCellAnchor>
  <xdr:oneCellAnchor>
    <xdr:from>
      <xdr:col>39</xdr:col>
      <xdr:colOff>603707</xdr:colOff>
      <xdr:row>16</xdr:row>
      <xdr:rowOff>116363</xdr:rowOff>
    </xdr:from>
    <xdr:ext cx="1518749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EDC1251C-1000-325D-84D9-326B4C152192}"/>
                </a:ext>
              </a:extLst>
            </xdr:cNvPr>
            <xdr:cNvSpPr txBox="1"/>
          </xdr:nvSpPr>
          <xdr:spPr>
            <a:xfrm>
              <a:off x="27184156" y="3242517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5 −1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1.1429=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EDC1251C-1000-325D-84D9-326B4C152192}"/>
                </a:ext>
              </a:extLst>
            </xdr:cNvPr>
            <xdr:cNvSpPr txBox="1"/>
          </xdr:nvSpPr>
          <xdr:spPr>
            <a:xfrm>
              <a:off x="27184156" y="3242517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𝑎1=  1/(5 −1)  𝑥 1.1429=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45</xdr:col>
      <xdr:colOff>247650</xdr:colOff>
      <xdr:row>17</xdr:row>
      <xdr:rowOff>12700</xdr:rowOff>
    </xdr:from>
    <xdr:ext cx="33316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799C279-2AA2-4A0C-8A01-8DBE4966D8B5}"/>
                </a:ext>
              </a:extLst>
            </xdr:cNvPr>
            <xdr:cNvSpPr txBox="1"/>
          </xdr:nvSpPr>
          <xdr:spPr>
            <a:xfrm>
              <a:off x="21628100" y="2965450"/>
              <a:ext cx="33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1=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799C279-2AA2-4A0C-8A01-8DBE4966D8B5}"/>
                </a:ext>
              </a:extLst>
            </xdr:cNvPr>
            <xdr:cNvSpPr txBox="1"/>
          </xdr:nvSpPr>
          <xdr:spPr>
            <a:xfrm>
              <a:off x="21628100" y="2965450"/>
              <a:ext cx="33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𝑎1=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45</xdr:col>
      <xdr:colOff>247650</xdr:colOff>
      <xdr:row>18</xdr:row>
      <xdr:rowOff>12700</xdr:rowOff>
    </xdr:from>
    <xdr:ext cx="33316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6D03240-D7AC-40F2-91B5-58A9321FFC47}"/>
                </a:ext>
              </a:extLst>
            </xdr:cNvPr>
            <xdr:cNvSpPr txBox="1"/>
          </xdr:nvSpPr>
          <xdr:spPr>
            <a:xfrm>
              <a:off x="21628100" y="3162300"/>
              <a:ext cx="33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2=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6D03240-D7AC-40F2-91B5-58A9321FFC47}"/>
                </a:ext>
              </a:extLst>
            </xdr:cNvPr>
            <xdr:cNvSpPr txBox="1"/>
          </xdr:nvSpPr>
          <xdr:spPr>
            <a:xfrm>
              <a:off x="21628100" y="3162300"/>
              <a:ext cx="33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𝑎2=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45</xdr:col>
      <xdr:colOff>247650</xdr:colOff>
      <xdr:row>19</xdr:row>
      <xdr:rowOff>12700</xdr:rowOff>
    </xdr:from>
    <xdr:ext cx="33316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9F81886-4CC1-453C-9429-B33B75CBA537}"/>
                </a:ext>
              </a:extLst>
            </xdr:cNvPr>
            <xdr:cNvSpPr txBox="1"/>
          </xdr:nvSpPr>
          <xdr:spPr>
            <a:xfrm>
              <a:off x="21628100" y="3359150"/>
              <a:ext cx="33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3=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9F81886-4CC1-453C-9429-B33B75CBA537}"/>
                </a:ext>
              </a:extLst>
            </xdr:cNvPr>
            <xdr:cNvSpPr txBox="1"/>
          </xdr:nvSpPr>
          <xdr:spPr>
            <a:xfrm>
              <a:off x="21628100" y="3359150"/>
              <a:ext cx="33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𝑎3=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78074</xdr:colOff>
      <xdr:row>15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5874CDD-7172-4D9C-9F68-FD00C52D26AD}"/>
                </a:ext>
              </a:extLst>
            </xdr:cNvPr>
            <xdr:cNvSpPr txBox="1"/>
          </xdr:nvSpPr>
          <xdr:spPr>
            <a:xfrm>
              <a:off x="8865353" y="233930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5874CDD-7172-4D9C-9F68-FD00C52D26AD}"/>
                </a:ext>
              </a:extLst>
            </xdr:cNvPr>
            <xdr:cNvSpPr txBox="1"/>
          </xdr:nvSpPr>
          <xdr:spPr>
            <a:xfrm>
              <a:off x="8865353" y="233930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16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6EEFA2C-B73B-4CB3-AD1B-A04B694E4A82}"/>
                </a:ext>
              </a:extLst>
            </xdr:cNvPr>
            <xdr:cNvSpPr txBox="1"/>
          </xdr:nvSpPr>
          <xdr:spPr>
            <a:xfrm>
              <a:off x="8865353" y="253540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6EEFA2C-B73B-4CB3-AD1B-A04B694E4A82}"/>
                </a:ext>
              </a:extLst>
            </xdr:cNvPr>
            <xdr:cNvSpPr txBox="1"/>
          </xdr:nvSpPr>
          <xdr:spPr>
            <a:xfrm>
              <a:off x="8865353" y="253540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17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23D7E10C-683E-47A5-A42A-4F9065719D02}"/>
                </a:ext>
              </a:extLst>
            </xdr:cNvPr>
            <xdr:cNvSpPr txBox="1"/>
          </xdr:nvSpPr>
          <xdr:spPr>
            <a:xfrm>
              <a:off x="8865353" y="273151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23D7E10C-683E-47A5-A42A-4F9065719D02}"/>
                </a:ext>
              </a:extLst>
            </xdr:cNvPr>
            <xdr:cNvSpPr txBox="1"/>
          </xdr:nvSpPr>
          <xdr:spPr>
            <a:xfrm>
              <a:off x="8865353" y="273151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18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F78FCE4D-B245-4453-9979-CABE77D123D3}"/>
                </a:ext>
              </a:extLst>
            </xdr:cNvPr>
            <xdr:cNvSpPr txBox="1"/>
          </xdr:nvSpPr>
          <xdr:spPr>
            <a:xfrm>
              <a:off x="8865353" y="292761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F78FCE4D-B245-4453-9979-CABE77D123D3}"/>
                </a:ext>
              </a:extLst>
            </xdr:cNvPr>
            <xdr:cNvSpPr txBox="1"/>
          </xdr:nvSpPr>
          <xdr:spPr>
            <a:xfrm>
              <a:off x="8865353" y="292761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19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661EE1DD-CB0F-4591-9272-022B8DB58F77}"/>
                </a:ext>
              </a:extLst>
            </xdr:cNvPr>
            <xdr:cNvSpPr txBox="1"/>
          </xdr:nvSpPr>
          <xdr:spPr>
            <a:xfrm>
              <a:off x="8861052" y="237970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661EE1DD-CB0F-4591-9272-022B8DB58F77}"/>
                </a:ext>
              </a:extLst>
            </xdr:cNvPr>
            <xdr:cNvSpPr txBox="1"/>
          </xdr:nvSpPr>
          <xdr:spPr>
            <a:xfrm>
              <a:off x="8861052" y="237970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20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AD6B7DC0-7950-4E84-84A3-936FEE60303F}"/>
                </a:ext>
              </a:extLst>
            </xdr:cNvPr>
            <xdr:cNvSpPr txBox="1"/>
          </xdr:nvSpPr>
          <xdr:spPr>
            <a:xfrm>
              <a:off x="8861052" y="257947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AD6B7DC0-7950-4E84-84A3-936FEE60303F}"/>
                </a:ext>
              </a:extLst>
            </xdr:cNvPr>
            <xdr:cNvSpPr txBox="1"/>
          </xdr:nvSpPr>
          <xdr:spPr>
            <a:xfrm>
              <a:off x="8861052" y="257947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21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80835038-B8BE-4977-865C-4FE28F37F319}"/>
                </a:ext>
              </a:extLst>
            </xdr:cNvPr>
            <xdr:cNvSpPr txBox="1"/>
          </xdr:nvSpPr>
          <xdr:spPr>
            <a:xfrm>
              <a:off x="8861052" y="277925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80835038-B8BE-4977-865C-4FE28F37F319}"/>
                </a:ext>
              </a:extLst>
            </xdr:cNvPr>
            <xdr:cNvSpPr txBox="1"/>
          </xdr:nvSpPr>
          <xdr:spPr>
            <a:xfrm>
              <a:off x="8861052" y="277925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22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4A149A3B-891D-460D-ACB2-3930E3164C2B}"/>
                </a:ext>
              </a:extLst>
            </xdr:cNvPr>
            <xdr:cNvSpPr txBox="1"/>
          </xdr:nvSpPr>
          <xdr:spPr>
            <a:xfrm>
              <a:off x="8861052" y="297902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4A149A3B-891D-460D-ACB2-3930E3164C2B}"/>
                </a:ext>
              </a:extLst>
            </xdr:cNvPr>
            <xdr:cNvSpPr txBox="1"/>
          </xdr:nvSpPr>
          <xdr:spPr>
            <a:xfrm>
              <a:off x="8861052" y="297902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23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4F72FFA1-41C6-4353-A209-D46373C9FBE9}"/>
                </a:ext>
              </a:extLst>
            </xdr:cNvPr>
            <xdr:cNvSpPr txBox="1"/>
          </xdr:nvSpPr>
          <xdr:spPr>
            <a:xfrm>
              <a:off x="8861052" y="317880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4F72FFA1-41C6-4353-A209-D46373C9FBE9}"/>
                </a:ext>
              </a:extLst>
            </xdr:cNvPr>
            <xdr:cNvSpPr txBox="1"/>
          </xdr:nvSpPr>
          <xdr:spPr>
            <a:xfrm>
              <a:off x="8861052" y="317880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24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FEFCDD53-DB4C-4FC0-831B-A8EBB0361C0C}"/>
                </a:ext>
              </a:extLst>
            </xdr:cNvPr>
            <xdr:cNvSpPr txBox="1"/>
          </xdr:nvSpPr>
          <xdr:spPr>
            <a:xfrm>
              <a:off x="8861052" y="337857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FEFCDD53-DB4C-4FC0-831B-A8EBB0361C0C}"/>
                </a:ext>
              </a:extLst>
            </xdr:cNvPr>
            <xdr:cNvSpPr txBox="1"/>
          </xdr:nvSpPr>
          <xdr:spPr>
            <a:xfrm>
              <a:off x="8861052" y="337857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25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F9FF747-1AD8-46F9-BFEF-377A8C9035A1}"/>
                </a:ext>
              </a:extLst>
            </xdr:cNvPr>
            <xdr:cNvSpPr txBox="1"/>
          </xdr:nvSpPr>
          <xdr:spPr>
            <a:xfrm>
              <a:off x="8861052" y="357835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F9FF747-1AD8-46F9-BFEF-377A8C9035A1}"/>
                </a:ext>
              </a:extLst>
            </xdr:cNvPr>
            <xdr:cNvSpPr txBox="1"/>
          </xdr:nvSpPr>
          <xdr:spPr>
            <a:xfrm>
              <a:off x="8861052" y="357835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26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DA89E9CF-9355-495E-BA3F-316544FDC50D}"/>
                </a:ext>
              </a:extLst>
            </xdr:cNvPr>
            <xdr:cNvSpPr txBox="1"/>
          </xdr:nvSpPr>
          <xdr:spPr>
            <a:xfrm>
              <a:off x="8861052" y="377812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DA89E9CF-9355-495E-BA3F-316544FDC50D}"/>
                </a:ext>
              </a:extLst>
            </xdr:cNvPr>
            <xdr:cNvSpPr txBox="1"/>
          </xdr:nvSpPr>
          <xdr:spPr>
            <a:xfrm>
              <a:off x="8861052" y="377812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27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1012282-3BF0-4943-85BD-573359667682}"/>
                </a:ext>
              </a:extLst>
            </xdr:cNvPr>
            <xdr:cNvSpPr txBox="1"/>
          </xdr:nvSpPr>
          <xdr:spPr>
            <a:xfrm>
              <a:off x="8883029" y="474623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1012282-3BF0-4943-85BD-573359667682}"/>
                </a:ext>
              </a:extLst>
            </xdr:cNvPr>
            <xdr:cNvSpPr txBox="1"/>
          </xdr:nvSpPr>
          <xdr:spPr>
            <a:xfrm>
              <a:off x="8883029" y="474623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28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FF7BA66-65F5-4F76-A9BB-0AB46B90D036}"/>
                </a:ext>
              </a:extLst>
            </xdr:cNvPr>
            <xdr:cNvSpPr txBox="1"/>
          </xdr:nvSpPr>
          <xdr:spPr>
            <a:xfrm>
              <a:off x="8883029" y="494467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FF7BA66-65F5-4F76-A9BB-0AB46B90D036}"/>
                </a:ext>
              </a:extLst>
            </xdr:cNvPr>
            <xdr:cNvSpPr txBox="1"/>
          </xdr:nvSpPr>
          <xdr:spPr>
            <a:xfrm>
              <a:off x="8883029" y="494467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29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A9B2A37D-6970-454E-94D6-DCCD1718130F}"/>
                </a:ext>
              </a:extLst>
            </xdr:cNvPr>
            <xdr:cNvSpPr txBox="1"/>
          </xdr:nvSpPr>
          <xdr:spPr>
            <a:xfrm>
              <a:off x="8883029" y="514311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A9B2A37D-6970-454E-94D6-DCCD1718130F}"/>
                </a:ext>
              </a:extLst>
            </xdr:cNvPr>
            <xdr:cNvSpPr txBox="1"/>
          </xdr:nvSpPr>
          <xdr:spPr>
            <a:xfrm>
              <a:off x="8883029" y="514311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30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D51B7B55-D1EE-43D0-B0E6-29A3905661D8}"/>
                </a:ext>
              </a:extLst>
            </xdr:cNvPr>
            <xdr:cNvSpPr txBox="1"/>
          </xdr:nvSpPr>
          <xdr:spPr>
            <a:xfrm>
              <a:off x="8883029" y="534154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D51B7B55-D1EE-43D0-B0E6-29A3905661D8}"/>
                </a:ext>
              </a:extLst>
            </xdr:cNvPr>
            <xdr:cNvSpPr txBox="1"/>
          </xdr:nvSpPr>
          <xdr:spPr>
            <a:xfrm>
              <a:off x="8883029" y="534154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33</xdr:row>
      <xdr:rowOff>182172</xdr:rowOff>
    </xdr:from>
    <xdr:ext cx="800343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41EAB8AD-4888-4F61-BA83-4989B23216B8}"/>
                </a:ext>
              </a:extLst>
            </xdr:cNvPr>
            <xdr:cNvSpPr txBox="1"/>
          </xdr:nvSpPr>
          <xdr:spPr>
            <a:xfrm>
              <a:off x="8901928" y="2364985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41EAB8AD-4888-4F61-BA83-4989B23216B8}"/>
                </a:ext>
              </a:extLst>
            </xdr:cNvPr>
            <xdr:cNvSpPr txBox="1"/>
          </xdr:nvSpPr>
          <xdr:spPr>
            <a:xfrm>
              <a:off x="8901928" y="2364985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34</xdr:row>
      <xdr:rowOff>182172</xdr:rowOff>
    </xdr:from>
    <xdr:ext cx="891435" cy="2260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47BC0931-BD5A-4005-A330-8ED37D90DB6E}"/>
                </a:ext>
              </a:extLst>
            </xdr:cNvPr>
            <xdr:cNvSpPr txBox="1"/>
          </xdr:nvSpPr>
          <xdr:spPr>
            <a:xfrm>
              <a:off x="8901928" y="2563422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47BC0931-BD5A-4005-A330-8ED37D90DB6E}"/>
                </a:ext>
              </a:extLst>
            </xdr:cNvPr>
            <xdr:cNvSpPr txBox="1"/>
          </xdr:nvSpPr>
          <xdr:spPr>
            <a:xfrm>
              <a:off x="8901928" y="2563422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35</xdr:row>
      <xdr:rowOff>182171</xdr:rowOff>
    </xdr:from>
    <xdr:ext cx="868757" cy="2317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AF58170B-2F77-44E1-A6A7-50E9E44B2096}"/>
                </a:ext>
              </a:extLst>
            </xdr:cNvPr>
            <xdr:cNvSpPr txBox="1"/>
          </xdr:nvSpPr>
          <xdr:spPr>
            <a:xfrm>
              <a:off x="8901928" y="2761859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AF58170B-2F77-44E1-A6A7-50E9E44B2096}"/>
                </a:ext>
              </a:extLst>
            </xdr:cNvPr>
            <xdr:cNvSpPr txBox="1"/>
          </xdr:nvSpPr>
          <xdr:spPr>
            <a:xfrm>
              <a:off x="8901928" y="2761859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36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79DFDF4-ACC3-4F98-89B5-8B3C1E2DAEFE}"/>
                </a:ext>
              </a:extLst>
            </xdr:cNvPr>
            <xdr:cNvSpPr txBox="1"/>
          </xdr:nvSpPr>
          <xdr:spPr>
            <a:xfrm>
              <a:off x="8901928" y="296029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79DFDF4-ACC3-4F98-89B5-8B3C1E2DAEFE}"/>
                </a:ext>
              </a:extLst>
            </xdr:cNvPr>
            <xdr:cNvSpPr txBox="1"/>
          </xdr:nvSpPr>
          <xdr:spPr>
            <a:xfrm>
              <a:off x="8901928" y="296029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37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DC2A225-F6D7-4642-BE6D-9C558652F558}"/>
                </a:ext>
              </a:extLst>
            </xdr:cNvPr>
            <xdr:cNvSpPr txBox="1"/>
          </xdr:nvSpPr>
          <xdr:spPr>
            <a:xfrm>
              <a:off x="8901928" y="315873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DC2A225-F6D7-4642-BE6D-9C558652F558}"/>
                </a:ext>
              </a:extLst>
            </xdr:cNvPr>
            <xdr:cNvSpPr txBox="1"/>
          </xdr:nvSpPr>
          <xdr:spPr>
            <a:xfrm>
              <a:off x="8901928" y="315873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38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93383605-0156-4850-A145-17D88F87C0AB}"/>
                </a:ext>
              </a:extLst>
            </xdr:cNvPr>
            <xdr:cNvSpPr txBox="1"/>
          </xdr:nvSpPr>
          <xdr:spPr>
            <a:xfrm>
              <a:off x="8901928" y="335717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93383605-0156-4850-A145-17D88F87C0AB}"/>
                </a:ext>
              </a:extLst>
            </xdr:cNvPr>
            <xdr:cNvSpPr txBox="1"/>
          </xdr:nvSpPr>
          <xdr:spPr>
            <a:xfrm>
              <a:off x="8901928" y="335717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39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CADCE2BD-BF18-4085-848E-FB16B2C3BE80}"/>
                </a:ext>
              </a:extLst>
            </xdr:cNvPr>
            <xdr:cNvSpPr txBox="1"/>
          </xdr:nvSpPr>
          <xdr:spPr>
            <a:xfrm>
              <a:off x="8901928" y="355561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CADCE2BD-BF18-4085-848E-FB16B2C3BE80}"/>
                </a:ext>
              </a:extLst>
            </xdr:cNvPr>
            <xdr:cNvSpPr txBox="1"/>
          </xdr:nvSpPr>
          <xdr:spPr>
            <a:xfrm>
              <a:off x="8901928" y="355561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40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650D7B02-44EC-4758-93F5-C93928DF83BE}"/>
                </a:ext>
              </a:extLst>
            </xdr:cNvPr>
            <xdr:cNvSpPr txBox="1"/>
          </xdr:nvSpPr>
          <xdr:spPr>
            <a:xfrm>
              <a:off x="8901928" y="375404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650D7B02-44EC-4758-93F5-C93928DF83BE}"/>
                </a:ext>
              </a:extLst>
            </xdr:cNvPr>
            <xdr:cNvSpPr txBox="1"/>
          </xdr:nvSpPr>
          <xdr:spPr>
            <a:xfrm>
              <a:off x="8901928" y="375404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41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62464476-F241-4342-9877-9FBFA4C9B663}"/>
                </a:ext>
              </a:extLst>
            </xdr:cNvPr>
            <xdr:cNvSpPr txBox="1"/>
          </xdr:nvSpPr>
          <xdr:spPr>
            <a:xfrm>
              <a:off x="8901928" y="395248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62464476-F241-4342-9877-9FBFA4C9B663}"/>
                </a:ext>
              </a:extLst>
            </xdr:cNvPr>
            <xdr:cNvSpPr txBox="1"/>
          </xdr:nvSpPr>
          <xdr:spPr>
            <a:xfrm>
              <a:off x="8901928" y="395248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42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F18F879F-4FEC-4E6A-A242-D2EC69BF2807}"/>
                </a:ext>
              </a:extLst>
            </xdr:cNvPr>
            <xdr:cNvSpPr txBox="1"/>
          </xdr:nvSpPr>
          <xdr:spPr>
            <a:xfrm>
              <a:off x="8901928" y="415092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F18F879F-4FEC-4E6A-A242-D2EC69BF2807}"/>
                </a:ext>
              </a:extLst>
            </xdr:cNvPr>
            <xdr:cNvSpPr txBox="1"/>
          </xdr:nvSpPr>
          <xdr:spPr>
            <a:xfrm>
              <a:off x="8901928" y="415092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43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9143180D-1AE6-4D4F-8C04-34CDA5DB654C}"/>
                </a:ext>
              </a:extLst>
            </xdr:cNvPr>
            <xdr:cNvSpPr txBox="1"/>
          </xdr:nvSpPr>
          <xdr:spPr>
            <a:xfrm>
              <a:off x="8901928" y="434936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9143180D-1AE6-4D4F-8C04-34CDA5DB654C}"/>
                </a:ext>
              </a:extLst>
            </xdr:cNvPr>
            <xdr:cNvSpPr txBox="1"/>
          </xdr:nvSpPr>
          <xdr:spPr>
            <a:xfrm>
              <a:off x="8901928" y="434936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44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D4351256-F120-4CD3-AEC2-6711B43FCEEC}"/>
                </a:ext>
              </a:extLst>
            </xdr:cNvPr>
            <xdr:cNvSpPr txBox="1"/>
          </xdr:nvSpPr>
          <xdr:spPr>
            <a:xfrm>
              <a:off x="8901928" y="454779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D4351256-F120-4CD3-AEC2-6711B43FCEEC}"/>
                </a:ext>
              </a:extLst>
            </xdr:cNvPr>
            <xdr:cNvSpPr txBox="1"/>
          </xdr:nvSpPr>
          <xdr:spPr>
            <a:xfrm>
              <a:off x="8901928" y="454779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45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8CCE291-3694-4637-A3FE-4745C94A478A}"/>
                </a:ext>
              </a:extLst>
            </xdr:cNvPr>
            <xdr:cNvSpPr txBox="1"/>
          </xdr:nvSpPr>
          <xdr:spPr>
            <a:xfrm>
              <a:off x="8901928" y="474623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8CCE291-3694-4637-A3FE-4745C94A478A}"/>
                </a:ext>
              </a:extLst>
            </xdr:cNvPr>
            <xdr:cNvSpPr txBox="1"/>
          </xdr:nvSpPr>
          <xdr:spPr>
            <a:xfrm>
              <a:off x="8901928" y="474623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46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30AAD36-0156-4102-AD32-CFC9EB8F8A45}"/>
                </a:ext>
              </a:extLst>
            </xdr:cNvPr>
            <xdr:cNvSpPr txBox="1"/>
          </xdr:nvSpPr>
          <xdr:spPr>
            <a:xfrm>
              <a:off x="8901928" y="494467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30AAD36-0156-4102-AD32-CFC9EB8F8A45}"/>
                </a:ext>
              </a:extLst>
            </xdr:cNvPr>
            <xdr:cNvSpPr txBox="1"/>
          </xdr:nvSpPr>
          <xdr:spPr>
            <a:xfrm>
              <a:off x="8901928" y="494467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47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36D396E1-CC8D-447F-8A98-5739F42EE071}"/>
                </a:ext>
              </a:extLst>
            </xdr:cNvPr>
            <xdr:cNvSpPr txBox="1"/>
          </xdr:nvSpPr>
          <xdr:spPr>
            <a:xfrm>
              <a:off x="8901928" y="514311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36D396E1-CC8D-447F-8A98-5739F42EE071}"/>
                </a:ext>
              </a:extLst>
            </xdr:cNvPr>
            <xdr:cNvSpPr txBox="1"/>
          </xdr:nvSpPr>
          <xdr:spPr>
            <a:xfrm>
              <a:off x="8901928" y="514311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48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BC722054-C48E-4F28-AD6F-47EBB3BF8428}"/>
                </a:ext>
              </a:extLst>
            </xdr:cNvPr>
            <xdr:cNvSpPr txBox="1"/>
          </xdr:nvSpPr>
          <xdr:spPr>
            <a:xfrm>
              <a:off x="8901928" y="534154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BC722054-C48E-4F28-AD6F-47EBB3BF8428}"/>
                </a:ext>
              </a:extLst>
            </xdr:cNvPr>
            <xdr:cNvSpPr txBox="1"/>
          </xdr:nvSpPr>
          <xdr:spPr>
            <a:xfrm>
              <a:off x="8901928" y="534154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49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6CFD6903-8BD9-4DD9-9E64-C35AEC959719}"/>
                </a:ext>
              </a:extLst>
            </xdr:cNvPr>
            <xdr:cNvSpPr txBox="1"/>
          </xdr:nvSpPr>
          <xdr:spPr>
            <a:xfrm>
              <a:off x="8901928" y="553998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6CFD6903-8BD9-4DD9-9E64-C35AEC959719}"/>
                </a:ext>
              </a:extLst>
            </xdr:cNvPr>
            <xdr:cNvSpPr txBox="1"/>
          </xdr:nvSpPr>
          <xdr:spPr>
            <a:xfrm>
              <a:off x="8901928" y="553998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50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AF96DA94-0988-4E47-B7C0-D31D998E2709}"/>
                </a:ext>
              </a:extLst>
            </xdr:cNvPr>
            <xdr:cNvSpPr txBox="1"/>
          </xdr:nvSpPr>
          <xdr:spPr>
            <a:xfrm>
              <a:off x="8901928" y="573842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AF96DA94-0988-4E47-B7C0-D31D998E2709}"/>
                </a:ext>
              </a:extLst>
            </xdr:cNvPr>
            <xdr:cNvSpPr txBox="1"/>
          </xdr:nvSpPr>
          <xdr:spPr>
            <a:xfrm>
              <a:off x="8901928" y="573842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51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85A727F6-6257-4FF5-A2FC-EDD80EF2A1F3}"/>
                </a:ext>
              </a:extLst>
            </xdr:cNvPr>
            <xdr:cNvSpPr txBox="1"/>
          </xdr:nvSpPr>
          <xdr:spPr>
            <a:xfrm>
              <a:off x="8901928" y="593686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85A727F6-6257-4FF5-A2FC-EDD80EF2A1F3}"/>
                </a:ext>
              </a:extLst>
            </xdr:cNvPr>
            <xdr:cNvSpPr txBox="1"/>
          </xdr:nvSpPr>
          <xdr:spPr>
            <a:xfrm>
              <a:off x="8901928" y="593686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52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9233DC8C-0075-4BA4-9463-9045F093794C}"/>
                </a:ext>
              </a:extLst>
            </xdr:cNvPr>
            <xdr:cNvSpPr txBox="1"/>
          </xdr:nvSpPr>
          <xdr:spPr>
            <a:xfrm>
              <a:off x="8901928" y="613529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9233DC8C-0075-4BA4-9463-9045F093794C}"/>
                </a:ext>
              </a:extLst>
            </xdr:cNvPr>
            <xdr:cNvSpPr txBox="1"/>
          </xdr:nvSpPr>
          <xdr:spPr>
            <a:xfrm>
              <a:off x="8901928" y="613529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55</xdr:row>
      <xdr:rowOff>182172</xdr:rowOff>
    </xdr:from>
    <xdr:ext cx="800343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13000E3E-64D1-45AD-832A-7475C8C109CC}"/>
                </a:ext>
              </a:extLst>
            </xdr:cNvPr>
            <xdr:cNvSpPr txBox="1"/>
          </xdr:nvSpPr>
          <xdr:spPr>
            <a:xfrm>
              <a:off x="8897518" y="6649765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13000E3E-64D1-45AD-832A-7475C8C109CC}"/>
                </a:ext>
              </a:extLst>
            </xdr:cNvPr>
            <xdr:cNvSpPr txBox="1"/>
          </xdr:nvSpPr>
          <xdr:spPr>
            <a:xfrm>
              <a:off x="8897518" y="6649765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56</xdr:row>
      <xdr:rowOff>182172</xdr:rowOff>
    </xdr:from>
    <xdr:ext cx="891435" cy="2260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5064ABAD-4513-4D2C-8EA3-DDDF84D6A982}"/>
                </a:ext>
              </a:extLst>
            </xdr:cNvPr>
            <xdr:cNvSpPr txBox="1"/>
          </xdr:nvSpPr>
          <xdr:spPr>
            <a:xfrm>
              <a:off x="8897518" y="6845752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5064ABAD-4513-4D2C-8EA3-DDDF84D6A982}"/>
                </a:ext>
              </a:extLst>
            </xdr:cNvPr>
            <xdr:cNvSpPr txBox="1"/>
          </xdr:nvSpPr>
          <xdr:spPr>
            <a:xfrm>
              <a:off x="8897518" y="6845752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57</xdr:row>
      <xdr:rowOff>182171</xdr:rowOff>
    </xdr:from>
    <xdr:ext cx="868757" cy="2317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26778D4-5BFA-49E6-8464-5092A0E47FC2}"/>
                </a:ext>
              </a:extLst>
            </xdr:cNvPr>
            <xdr:cNvSpPr txBox="1"/>
          </xdr:nvSpPr>
          <xdr:spPr>
            <a:xfrm>
              <a:off x="8897518" y="7041739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26778D4-5BFA-49E6-8464-5092A0E47FC2}"/>
                </a:ext>
              </a:extLst>
            </xdr:cNvPr>
            <xdr:cNvSpPr txBox="1"/>
          </xdr:nvSpPr>
          <xdr:spPr>
            <a:xfrm>
              <a:off x="8897518" y="7041739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58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1E3C01C4-4BD8-4682-B75E-D25AFF8EFD54}"/>
                </a:ext>
              </a:extLst>
            </xdr:cNvPr>
            <xdr:cNvSpPr txBox="1"/>
          </xdr:nvSpPr>
          <xdr:spPr>
            <a:xfrm>
              <a:off x="8897518" y="723772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1E3C01C4-4BD8-4682-B75E-D25AFF8EFD54}"/>
                </a:ext>
              </a:extLst>
            </xdr:cNvPr>
            <xdr:cNvSpPr txBox="1"/>
          </xdr:nvSpPr>
          <xdr:spPr>
            <a:xfrm>
              <a:off x="8897518" y="723772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59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509E9DC-4895-433A-AC4A-ECFAC2CC5F1D}"/>
                </a:ext>
              </a:extLst>
            </xdr:cNvPr>
            <xdr:cNvSpPr txBox="1"/>
          </xdr:nvSpPr>
          <xdr:spPr>
            <a:xfrm>
              <a:off x="8897518" y="743371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509E9DC-4895-433A-AC4A-ECFAC2CC5F1D}"/>
                </a:ext>
              </a:extLst>
            </xdr:cNvPr>
            <xdr:cNvSpPr txBox="1"/>
          </xdr:nvSpPr>
          <xdr:spPr>
            <a:xfrm>
              <a:off x="8897518" y="743371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60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B198955-0E40-4366-AB92-BD93224B3B33}"/>
                </a:ext>
              </a:extLst>
            </xdr:cNvPr>
            <xdr:cNvSpPr txBox="1"/>
          </xdr:nvSpPr>
          <xdr:spPr>
            <a:xfrm>
              <a:off x="8897518" y="762970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B198955-0E40-4366-AB92-BD93224B3B33}"/>
                </a:ext>
              </a:extLst>
            </xdr:cNvPr>
            <xdr:cNvSpPr txBox="1"/>
          </xdr:nvSpPr>
          <xdr:spPr>
            <a:xfrm>
              <a:off x="8897518" y="762970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61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56E60DB3-AF9A-4B99-AB2A-F97AB53FECA5}"/>
                </a:ext>
              </a:extLst>
            </xdr:cNvPr>
            <xdr:cNvSpPr txBox="1"/>
          </xdr:nvSpPr>
          <xdr:spPr>
            <a:xfrm>
              <a:off x="8897518" y="782569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56E60DB3-AF9A-4B99-AB2A-F97AB53FECA5}"/>
                </a:ext>
              </a:extLst>
            </xdr:cNvPr>
            <xdr:cNvSpPr txBox="1"/>
          </xdr:nvSpPr>
          <xdr:spPr>
            <a:xfrm>
              <a:off x="8897518" y="782569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62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1AB291BC-DFF4-420E-98FC-30E4179F6AFF}"/>
                </a:ext>
              </a:extLst>
            </xdr:cNvPr>
            <xdr:cNvSpPr txBox="1"/>
          </xdr:nvSpPr>
          <xdr:spPr>
            <a:xfrm>
              <a:off x="8897518" y="802167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1AB291BC-DFF4-420E-98FC-30E4179F6AFF}"/>
                </a:ext>
              </a:extLst>
            </xdr:cNvPr>
            <xdr:cNvSpPr txBox="1"/>
          </xdr:nvSpPr>
          <xdr:spPr>
            <a:xfrm>
              <a:off x="8897518" y="802167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63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8D855B89-2214-407D-8D75-798870F740F0}"/>
                </a:ext>
              </a:extLst>
            </xdr:cNvPr>
            <xdr:cNvSpPr txBox="1"/>
          </xdr:nvSpPr>
          <xdr:spPr>
            <a:xfrm>
              <a:off x="8897518" y="821766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8D855B89-2214-407D-8D75-798870F740F0}"/>
                </a:ext>
              </a:extLst>
            </xdr:cNvPr>
            <xdr:cNvSpPr txBox="1"/>
          </xdr:nvSpPr>
          <xdr:spPr>
            <a:xfrm>
              <a:off x="8897518" y="821766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64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3ED07166-47A6-49A5-8858-4B10E928D0EF}"/>
                </a:ext>
              </a:extLst>
            </xdr:cNvPr>
            <xdr:cNvSpPr txBox="1"/>
          </xdr:nvSpPr>
          <xdr:spPr>
            <a:xfrm>
              <a:off x="8897518" y="841365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3ED07166-47A6-49A5-8858-4B10E928D0EF}"/>
                </a:ext>
              </a:extLst>
            </xdr:cNvPr>
            <xdr:cNvSpPr txBox="1"/>
          </xdr:nvSpPr>
          <xdr:spPr>
            <a:xfrm>
              <a:off x="8897518" y="841365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65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904497BB-CDC1-483C-AE1D-23572C107BDF}"/>
                </a:ext>
              </a:extLst>
            </xdr:cNvPr>
            <xdr:cNvSpPr txBox="1"/>
          </xdr:nvSpPr>
          <xdr:spPr>
            <a:xfrm>
              <a:off x="8897518" y="860964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904497BB-CDC1-483C-AE1D-23572C107BDF}"/>
                </a:ext>
              </a:extLst>
            </xdr:cNvPr>
            <xdr:cNvSpPr txBox="1"/>
          </xdr:nvSpPr>
          <xdr:spPr>
            <a:xfrm>
              <a:off x="8897518" y="860964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66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A923C776-4270-4D0C-AE14-9D7C0285DDA6}"/>
                </a:ext>
              </a:extLst>
            </xdr:cNvPr>
            <xdr:cNvSpPr txBox="1"/>
          </xdr:nvSpPr>
          <xdr:spPr>
            <a:xfrm>
              <a:off x="8897518" y="880562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A923C776-4270-4D0C-AE14-9D7C0285DDA6}"/>
                </a:ext>
              </a:extLst>
            </xdr:cNvPr>
            <xdr:cNvSpPr txBox="1"/>
          </xdr:nvSpPr>
          <xdr:spPr>
            <a:xfrm>
              <a:off x="8897518" y="880562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67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58B0063D-0771-4E12-B645-2094F9F437B8}"/>
                </a:ext>
              </a:extLst>
            </xdr:cNvPr>
            <xdr:cNvSpPr txBox="1"/>
          </xdr:nvSpPr>
          <xdr:spPr>
            <a:xfrm>
              <a:off x="8897518" y="900161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58B0063D-0771-4E12-B645-2094F9F437B8}"/>
                </a:ext>
              </a:extLst>
            </xdr:cNvPr>
            <xdr:cNvSpPr txBox="1"/>
          </xdr:nvSpPr>
          <xdr:spPr>
            <a:xfrm>
              <a:off x="8897518" y="900161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68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B2592B8-1D95-43E5-B41F-8FF1E492FE62}"/>
                </a:ext>
              </a:extLst>
            </xdr:cNvPr>
            <xdr:cNvSpPr txBox="1"/>
          </xdr:nvSpPr>
          <xdr:spPr>
            <a:xfrm>
              <a:off x="8897518" y="919760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B2592B8-1D95-43E5-B41F-8FF1E492FE62}"/>
                </a:ext>
              </a:extLst>
            </xdr:cNvPr>
            <xdr:cNvSpPr txBox="1"/>
          </xdr:nvSpPr>
          <xdr:spPr>
            <a:xfrm>
              <a:off x="8897518" y="919760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69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098F1CEF-3FFF-4F54-A03F-72AC9E0DEB83}"/>
                </a:ext>
              </a:extLst>
            </xdr:cNvPr>
            <xdr:cNvSpPr txBox="1"/>
          </xdr:nvSpPr>
          <xdr:spPr>
            <a:xfrm>
              <a:off x="8897518" y="939359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098F1CEF-3FFF-4F54-A03F-72AC9E0DEB83}"/>
                </a:ext>
              </a:extLst>
            </xdr:cNvPr>
            <xdr:cNvSpPr txBox="1"/>
          </xdr:nvSpPr>
          <xdr:spPr>
            <a:xfrm>
              <a:off x="8897518" y="939359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70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FF183F13-046B-4419-8370-C9981C89EDF6}"/>
                </a:ext>
              </a:extLst>
            </xdr:cNvPr>
            <xdr:cNvSpPr txBox="1"/>
          </xdr:nvSpPr>
          <xdr:spPr>
            <a:xfrm>
              <a:off x="8897518" y="958957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FF183F13-046B-4419-8370-C9981C89EDF6}"/>
                </a:ext>
              </a:extLst>
            </xdr:cNvPr>
            <xdr:cNvSpPr txBox="1"/>
          </xdr:nvSpPr>
          <xdr:spPr>
            <a:xfrm>
              <a:off x="8897518" y="958957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71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E411B01-7CD8-4820-A24A-0FEA16FEC41F}"/>
                </a:ext>
              </a:extLst>
            </xdr:cNvPr>
            <xdr:cNvSpPr txBox="1"/>
          </xdr:nvSpPr>
          <xdr:spPr>
            <a:xfrm>
              <a:off x="8897518" y="978556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E411B01-7CD8-4820-A24A-0FEA16FEC41F}"/>
                </a:ext>
              </a:extLst>
            </xdr:cNvPr>
            <xdr:cNvSpPr txBox="1"/>
          </xdr:nvSpPr>
          <xdr:spPr>
            <a:xfrm>
              <a:off x="8897518" y="978556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72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50D5EF2-74C1-44A1-8F2D-31B783A349B1}"/>
                </a:ext>
              </a:extLst>
            </xdr:cNvPr>
            <xdr:cNvSpPr txBox="1"/>
          </xdr:nvSpPr>
          <xdr:spPr>
            <a:xfrm>
              <a:off x="8897518" y="998155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50D5EF2-74C1-44A1-8F2D-31B783A349B1}"/>
                </a:ext>
              </a:extLst>
            </xdr:cNvPr>
            <xdr:cNvSpPr txBox="1"/>
          </xdr:nvSpPr>
          <xdr:spPr>
            <a:xfrm>
              <a:off x="8897518" y="998155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73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AF537B3A-92B8-40D5-8172-0ADA19797288}"/>
                </a:ext>
              </a:extLst>
            </xdr:cNvPr>
            <xdr:cNvSpPr txBox="1"/>
          </xdr:nvSpPr>
          <xdr:spPr>
            <a:xfrm>
              <a:off x="8897518" y="1017754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AF537B3A-92B8-40D5-8172-0ADA19797288}"/>
                </a:ext>
              </a:extLst>
            </xdr:cNvPr>
            <xdr:cNvSpPr txBox="1"/>
          </xdr:nvSpPr>
          <xdr:spPr>
            <a:xfrm>
              <a:off x="8897518" y="1017754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74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4F0477A1-F077-47F4-8484-2921DD2BA258}"/>
                </a:ext>
              </a:extLst>
            </xdr:cNvPr>
            <xdr:cNvSpPr txBox="1"/>
          </xdr:nvSpPr>
          <xdr:spPr>
            <a:xfrm>
              <a:off x="8897518" y="1037353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4F0477A1-F077-47F4-8484-2921DD2BA258}"/>
                </a:ext>
              </a:extLst>
            </xdr:cNvPr>
            <xdr:cNvSpPr txBox="1"/>
          </xdr:nvSpPr>
          <xdr:spPr>
            <a:xfrm>
              <a:off x="8897518" y="1037353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77</xdr:row>
      <xdr:rowOff>182172</xdr:rowOff>
    </xdr:from>
    <xdr:ext cx="800343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C2CCCF1F-A133-4D1B-9442-6413612B813C}"/>
                </a:ext>
              </a:extLst>
            </xdr:cNvPr>
            <xdr:cNvSpPr txBox="1"/>
          </xdr:nvSpPr>
          <xdr:spPr>
            <a:xfrm>
              <a:off x="8852619" y="10765505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C2CCCF1F-A133-4D1B-9442-6413612B813C}"/>
                </a:ext>
              </a:extLst>
            </xdr:cNvPr>
            <xdr:cNvSpPr txBox="1"/>
          </xdr:nvSpPr>
          <xdr:spPr>
            <a:xfrm>
              <a:off x="8852619" y="10765505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78</xdr:row>
      <xdr:rowOff>182172</xdr:rowOff>
    </xdr:from>
    <xdr:ext cx="891435" cy="2260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F429E1A-BF30-44F0-941F-EA83B06906FA}"/>
                </a:ext>
              </a:extLst>
            </xdr:cNvPr>
            <xdr:cNvSpPr txBox="1"/>
          </xdr:nvSpPr>
          <xdr:spPr>
            <a:xfrm>
              <a:off x="8852619" y="10957930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F429E1A-BF30-44F0-941F-EA83B06906FA}"/>
                </a:ext>
              </a:extLst>
            </xdr:cNvPr>
            <xdr:cNvSpPr txBox="1"/>
          </xdr:nvSpPr>
          <xdr:spPr>
            <a:xfrm>
              <a:off x="8852619" y="10957930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79</xdr:row>
      <xdr:rowOff>182171</xdr:rowOff>
    </xdr:from>
    <xdr:ext cx="868757" cy="2317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80B92C2-9E8B-4D49-9435-A32FEC0562F8}"/>
                </a:ext>
              </a:extLst>
            </xdr:cNvPr>
            <xdr:cNvSpPr txBox="1"/>
          </xdr:nvSpPr>
          <xdr:spPr>
            <a:xfrm>
              <a:off x="8852619" y="11150353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80B92C2-9E8B-4D49-9435-A32FEC0562F8}"/>
                </a:ext>
              </a:extLst>
            </xdr:cNvPr>
            <xdr:cNvSpPr txBox="1"/>
          </xdr:nvSpPr>
          <xdr:spPr>
            <a:xfrm>
              <a:off x="8852619" y="11150353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80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D620142F-5740-480F-8CE5-806F7A45F69F}"/>
                </a:ext>
              </a:extLst>
            </xdr:cNvPr>
            <xdr:cNvSpPr txBox="1"/>
          </xdr:nvSpPr>
          <xdr:spPr>
            <a:xfrm>
              <a:off x="8852619" y="1134277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D620142F-5740-480F-8CE5-806F7A45F69F}"/>
                </a:ext>
              </a:extLst>
            </xdr:cNvPr>
            <xdr:cNvSpPr txBox="1"/>
          </xdr:nvSpPr>
          <xdr:spPr>
            <a:xfrm>
              <a:off x="8852619" y="1134277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81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0A451452-3CD5-4011-9C6B-63A56920D23C}"/>
                </a:ext>
              </a:extLst>
            </xdr:cNvPr>
            <xdr:cNvSpPr txBox="1"/>
          </xdr:nvSpPr>
          <xdr:spPr>
            <a:xfrm>
              <a:off x="8852619" y="1153520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0A451452-3CD5-4011-9C6B-63A56920D23C}"/>
                </a:ext>
              </a:extLst>
            </xdr:cNvPr>
            <xdr:cNvSpPr txBox="1"/>
          </xdr:nvSpPr>
          <xdr:spPr>
            <a:xfrm>
              <a:off x="8852619" y="1153520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82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20B50368-605F-47FB-8FD9-D84062540A93}"/>
                </a:ext>
              </a:extLst>
            </xdr:cNvPr>
            <xdr:cNvSpPr txBox="1"/>
          </xdr:nvSpPr>
          <xdr:spPr>
            <a:xfrm>
              <a:off x="8852619" y="1172762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20B50368-605F-47FB-8FD9-D84062540A93}"/>
                </a:ext>
              </a:extLst>
            </xdr:cNvPr>
            <xdr:cNvSpPr txBox="1"/>
          </xdr:nvSpPr>
          <xdr:spPr>
            <a:xfrm>
              <a:off x="8852619" y="1172762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83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98A702A0-B766-4990-BAF1-3B16C798826C}"/>
                </a:ext>
              </a:extLst>
            </xdr:cNvPr>
            <xdr:cNvSpPr txBox="1"/>
          </xdr:nvSpPr>
          <xdr:spPr>
            <a:xfrm>
              <a:off x="8852619" y="1192005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98A702A0-B766-4990-BAF1-3B16C798826C}"/>
                </a:ext>
              </a:extLst>
            </xdr:cNvPr>
            <xdr:cNvSpPr txBox="1"/>
          </xdr:nvSpPr>
          <xdr:spPr>
            <a:xfrm>
              <a:off x="8852619" y="1192005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84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9879FE36-DE1D-4274-96F4-8A0EF9B386B8}"/>
                </a:ext>
              </a:extLst>
            </xdr:cNvPr>
            <xdr:cNvSpPr txBox="1"/>
          </xdr:nvSpPr>
          <xdr:spPr>
            <a:xfrm>
              <a:off x="8852619" y="1211247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9879FE36-DE1D-4274-96F4-8A0EF9B386B8}"/>
                </a:ext>
              </a:extLst>
            </xdr:cNvPr>
            <xdr:cNvSpPr txBox="1"/>
          </xdr:nvSpPr>
          <xdr:spPr>
            <a:xfrm>
              <a:off x="8852619" y="1211247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85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CA6CB464-5B0F-4EFF-A121-84642CB92422}"/>
                </a:ext>
              </a:extLst>
            </xdr:cNvPr>
            <xdr:cNvSpPr txBox="1"/>
          </xdr:nvSpPr>
          <xdr:spPr>
            <a:xfrm>
              <a:off x="8852619" y="1230489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CA6CB464-5B0F-4EFF-A121-84642CB92422}"/>
                </a:ext>
              </a:extLst>
            </xdr:cNvPr>
            <xdr:cNvSpPr txBox="1"/>
          </xdr:nvSpPr>
          <xdr:spPr>
            <a:xfrm>
              <a:off x="8852619" y="1230489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86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E33DE52-A26F-4A39-A02F-0FD2E6DEF580}"/>
                </a:ext>
              </a:extLst>
            </xdr:cNvPr>
            <xdr:cNvSpPr txBox="1"/>
          </xdr:nvSpPr>
          <xdr:spPr>
            <a:xfrm>
              <a:off x="8852619" y="1249732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E33DE52-A26F-4A39-A02F-0FD2E6DEF580}"/>
                </a:ext>
              </a:extLst>
            </xdr:cNvPr>
            <xdr:cNvSpPr txBox="1"/>
          </xdr:nvSpPr>
          <xdr:spPr>
            <a:xfrm>
              <a:off x="8852619" y="1249732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87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688F234F-BA69-4ECA-A567-821FF566DFE7}"/>
                </a:ext>
              </a:extLst>
            </xdr:cNvPr>
            <xdr:cNvSpPr txBox="1"/>
          </xdr:nvSpPr>
          <xdr:spPr>
            <a:xfrm>
              <a:off x="8852619" y="1268974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688F234F-BA69-4ECA-A567-821FF566DFE7}"/>
                </a:ext>
              </a:extLst>
            </xdr:cNvPr>
            <xdr:cNvSpPr txBox="1"/>
          </xdr:nvSpPr>
          <xdr:spPr>
            <a:xfrm>
              <a:off x="8852619" y="1268974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88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9430C3B3-ECF5-4278-9875-BCF83EBD5B55}"/>
                </a:ext>
              </a:extLst>
            </xdr:cNvPr>
            <xdr:cNvSpPr txBox="1"/>
          </xdr:nvSpPr>
          <xdr:spPr>
            <a:xfrm>
              <a:off x="8852619" y="1288217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9430C3B3-ECF5-4278-9875-BCF83EBD5B55}"/>
                </a:ext>
              </a:extLst>
            </xdr:cNvPr>
            <xdr:cNvSpPr txBox="1"/>
          </xdr:nvSpPr>
          <xdr:spPr>
            <a:xfrm>
              <a:off x="8852619" y="1288217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89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B6AAD220-43C4-48E0-87AE-B5DF997702A8}"/>
                </a:ext>
              </a:extLst>
            </xdr:cNvPr>
            <xdr:cNvSpPr txBox="1"/>
          </xdr:nvSpPr>
          <xdr:spPr>
            <a:xfrm>
              <a:off x="8852619" y="1307459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B6AAD220-43C4-48E0-87AE-B5DF997702A8}"/>
                </a:ext>
              </a:extLst>
            </xdr:cNvPr>
            <xdr:cNvSpPr txBox="1"/>
          </xdr:nvSpPr>
          <xdr:spPr>
            <a:xfrm>
              <a:off x="8852619" y="1307459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90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D2A116B5-7F04-4379-ACA6-7AA713E610D9}"/>
                </a:ext>
              </a:extLst>
            </xdr:cNvPr>
            <xdr:cNvSpPr txBox="1"/>
          </xdr:nvSpPr>
          <xdr:spPr>
            <a:xfrm>
              <a:off x="8852619" y="1326702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D2A116B5-7F04-4379-ACA6-7AA713E610D9}"/>
                </a:ext>
              </a:extLst>
            </xdr:cNvPr>
            <xdr:cNvSpPr txBox="1"/>
          </xdr:nvSpPr>
          <xdr:spPr>
            <a:xfrm>
              <a:off x="8852619" y="1326702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91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10D4A47A-A417-4ED6-ABA9-4632D06E44A9}"/>
                </a:ext>
              </a:extLst>
            </xdr:cNvPr>
            <xdr:cNvSpPr txBox="1"/>
          </xdr:nvSpPr>
          <xdr:spPr>
            <a:xfrm>
              <a:off x="8852619" y="1345944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10D4A47A-A417-4ED6-ABA9-4632D06E44A9}"/>
                </a:ext>
              </a:extLst>
            </xdr:cNvPr>
            <xdr:cNvSpPr txBox="1"/>
          </xdr:nvSpPr>
          <xdr:spPr>
            <a:xfrm>
              <a:off x="8852619" y="1345944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92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F3696705-A2BD-435E-B3EE-A070800EA018}"/>
                </a:ext>
              </a:extLst>
            </xdr:cNvPr>
            <xdr:cNvSpPr txBox="1"/>
          </xdr:nvSpPr>
          <xdr:spPr>
            <a:xfrm>
              <a:off x="8852619" y="1365186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F3696705-A2BD-435E-B3EE-A070800EA018}"/>
                </a:ext>
              </a:extLst>
            </xdr:cNvPr>
            <xdr:cNvSpPr txBox="1"/>
          </xdr:nvSpPr>
          <xdr:spPr>
            <a:xfrm>
              <a:off x="8852619" y="1365186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93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B11E0E71-1448-440E-9677-3D810BABD9BF}"/>
                </a:ext>
              </a:extLst>
            </xdr:cNvPr>
            <xdr:cNvSpPr txBox="1"/>
          </xdr:nvSpPr>
          <xdr:spPr>
            <a:xfrm>
              <a:off x="8852619" y="1384429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B11E0E71-1448-440E-9677-3D810BABD9BF}"/>
                </a:ext>
              </a:extLst>
            </xdr:cNvPr>
            <xdr:cNvSpPr txBox="1"/>
          </xdr:nvSpPr>
          <xdr:spPr>
            <a:xfrm>
              <a:off x="8852619" y="1384429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94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E71604E4-DA15-48FD-BA3F-AB4F3CA86789}"/>
                </a:ext>
              </a:extLst>
            </xdr:cNvPr>
            <xdr:cNvSpPr txBox="1"/>
          </xdr:nvSpPr>
          <xdr:spPr>
            <a:xfrm>
              <a:off x="8852619" y="1403671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E71604E4-DA15-48FD-BA3F-AB4F3CA86789}"/>
                </a:ext>
              </a:extLst>
            </xdr:cNvPr>
            <xdr:cNvSpPr txBox="1"/>
          </xdr:nvSpPr>
          <xdr:spPr>
            <a:xfrm>
              <a:off x="8852619" y="1403671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95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2EFD4D98-E5E8-4089-A320-FC966282E426}"/>
                </a:ext>
              </a:extLst>
            </xdr:cNvPr>
            <xdr:cNvSpPr txBox="1"/>
          </xdr:nvSpPr>
          <xdr:spPr>
            <a:xfrm>
              <a:off x="8852619" y="1422914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2EFD4D98-E5E8-4089-A320-FC966282E426}"/>
                </a:ext>
              </a:extLst>
            </xdr:cNvPr>
            <xdr:cNvSpPr txBox="1"/>
          </xdr:nvSpPr>
          <xdr:spPr>
            <a:xfrm>
              <a:off x="8852619" y="1422914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13</xdr:col>
      <xdr:colOff>78074</xdr:colOff>
      <xdr:row>96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256B8FE9-4AD7-4417-A2C9-D76C6FB6401F}"/>
                </a:ext>
              </a:extLst>
            </xdr:cNvPr>
            <xdr:cNvSpPr txBox="1"/>
          </xdr:nvSpPr>
          <xdr:spPr>
            <a:xfrm>
              <a:off x="8852619" y="1442156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256B8FE9-4AD7-4417-A2C9-D76C6FB6401F}"/>
                </a:ext>
              </a:extLst>
            </xdr:cNvPr>
            <xdr:cNvSpPr txBox="1"/>
          </xdr:nvSpPr>
          <xdr:spPr>
            <a:xfrm>
              <a:off x="8852619" y="1442156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11</xdr:row>
      <xdr:rowOff>182172</xdr:rowOff>
    </xdr:from>
    <xdr:ext cx="800343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E9AA5003-AF39-4511-8E59-C8B9C4F4A2A6}"/>
                </a:ext>
              </a:extLst>
            </xdr:cNvPr>
            <xdr:cNvSpPr txBox="1"/>
          </xdr:nvSpPr>
          <xdr:spPr>
            <a:xfrm>
              <a:off x="8852619" y="2298839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E9AA5003-AF39-4511-8E59-C8B9C4F4A2A6}"/>
                </a:ext>
              </a:extLst>
            </xdr:cNvPr>
            <xdr:cNvSpPr txBox="1"/>
          </xdr:nvSpPr>
          <xdr:spPr>
            <a:xfrm>
              <a:off x="8852619" y="2298839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12</xdr:row>
      <xdr:rowOff>182172</xdr:rowOff>
    </xdr:from>
    <xdr:ext cx="891435" cy="2260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CCA6C199-1506-4D63-8FF2-0E18BEDBB622}"/>
                </a:ext>
              </a:extLst>
            </xdr:cNvPr>
            <xdr:cNvSpPr txBox="1"/>
          </xdr:nvSpPr>
          <xdr:spPr>
            <a:xfrm>
              <a:off x="8852619" y="2491263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CCA6C199-1506-4D63-8FF2-0E18BEDBB622}"/>
                </a:ext>
              </a:extLst>
            </xdr:cNvPr>
            <xdr:cNvSpPr txBox="1"/>
          </xdr:nvSpPr>
          <xdr:spPr>
            <a:xfrm>
              <a:off x="8852619" y="2491263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13</xdr:row>
      <xdr:rowOff>182171</xdr:rowOff>
    </xdr:from>
    <xdr:ext cx="868757" cy="2317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9F290E28-940A-46CE-917C-9F2E7CAF2D66}"/>
                </a:ext>
              </a:extLst>
            </xdr:cNvPr>
            <xdr:cNvSpPr txBox="1"/>
          </xdr:nvSpPr>
          <xdr:spPr>
            <a:xfrm>
              <a:off x="8852619" y="2683686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9F290E28-940A-46CE-917C-9F2E7CAF2D66}"/>
                </a:ext>
              </a:extLst>
            </xdr:cNvPr>
            <xdr:cNvSpPr txBox="1"/>
          </xdr:nvSpPr>
          <xdr:spPr>
            <a:xfrm>
              <a:off x="8852619" y="2683686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14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CCF67F89-0C6E-4F55-8A59-3FD096AE0CF6}"/>
                </a:ext>
              </a:extLst>
            </xdr:cNvPr>
            <xdr:cNvSpPr txBox="1"/>
          </xdr:nvSpPr>
          <xdr:spPr>
            <a:xfrm>
              <a:off x="8852619" y="287611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CCF67F89-0C6E-4F55-8A59-3FD096AE0CF6}"/>
                </a:ext>
              </a:extLst>
            </xdr:cNvPr>
            <xdr:cNvSpPr txBox="1"/>
          </xdr:nvSpPr>
          <xdr:spPr>
            <a:xfrm>
              <a:off x="8852619" y="287611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15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BDC2687D-1813-49B5-A0BD-3142115CF3E8}"/>
                </a:ext>
              </a:extLst>
            </xdr:cNvPr>
            <xdr:cNvSpPr txBox="1"/>
          </xdr:nvSpPr>
          <xdr:spPr>
            <a:xfrm>
              <a:off x="8852619" y="306853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BDC2687D-1813-49B5-A0BD-3142115CF3E8}"/>
                </a:ext>
              </a:extLst>
            </xdr:cNvPr>
            <xdr:cNvSpPr txBox="1"/>
          </xdr:nvSpPr>
          <xdr:spPr>
            <a:xfrm>
              <a:off x="8852619" y="306853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16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73A0DCCD-358D-4843-8A51-D4F49D5EF858}"/>
                </a:ext>
              </a:extLst>
            </xdr:cNvPr>
            <xdr:cNvSpPr txBox="1"/>
          </xdr:nvSpPr>
          <xdr:spPr>
            <a:xfrm>
              <a:off x="8852619" y="326096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73A0DCCD-358D-4843-8A51-D4F49D5EF858}"/>
                </a:ext>
              </a:extLst>
            </xdr:cNvPr>
            <xdr:cNvSpPr txBox="1"/>
          </xdr:nvSpPr>
          <xdr:spPr>
            <a:xfrm>
              <a:off x="8852619" y="326096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17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E1DAD7E9-325B-4F02-B12B-11724D83785A}"/>
                </a:ext>
              </a:extLst>
            </xdr:cNvPr>
            <xdr:cNvSpPr txBox="1"/>
          </xdr:nvSpPr>
          <xdr:spPr>
            <a:xfrm>
              <a:off x="8852619" y="345338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E1DAD7E9-325B-4F02-B12B-11724D83785A}"/>
                </a:ext>
              </a:extLst>
            </xdr:cNvPr>
            <xdr:cNvSpPr txBox="1"/>
          </xdr:nvSpPr>
          <xdr:spPr>
            <a:xfrm>
              <a:off x="8852619" y="345338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18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8C5EB9A0-07D2-4795-AC89-42EB95E0214D}"/>
                </a:ext>
              </a:extLst>
            </xdr:cNvPr>
            <xdr:cNvSpPr txBox="1"/>
          </xdr:nvSpPr>
          <xdr:spPr>
            <a:xfrm>
              <a:off x="8852619" y="364580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8C5EB9A0-07D2-4795-AC89-42EB95E0214D}"/>
                </a:ext>
              </a:extLst>
            </xdr:cNvPr>
            <xdr:cNvSpPr txBox="1"/>
          </xdr:nvSpPr>
          <xdr:spPr>
            <a:xfrm>
              <a:off x="8852619" y="364580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19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4B50B19-70A9-4A88-9944-E0C9950B306A}"/>
                </a:ext>
              </a:extLst>
            </xdr:cNvPr>
            <xdr:cNvSpPr txBox="1"/>
          </xdr:nvSpPr>
          <xdr:spPr>
            <a:xfrm>
              <a:off x="8852619" y="383823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4B50B19-70A9-4A88-9944-E0C9950B306A}"/>
                </a:ext>
              </a:extLst>
            </xdr:cNvPr>
            <xdr:cNvSpPr txBox="1"/>
          </xdr:nvSpPr>
          <xdr:spPr>
            <a:xfrm>
              <a:off x="8852619" y="383823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20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4519713F-1ADA-4A76-8EE9-2DF57AD2F536}"/>
                </a:ext>
              </a:extLst>
            </xdr:cNvPr>
            <xdr:cNvSpPr txBox="1"/>
          </xdr:nvSpPr>
          <xdr:spPr>
            <a:xfrm>
              <a:off x="8852619" y="403065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4519713F-1ADA-4A76-8EE9-2DF57AD2F536}"/>
                </a:ext>
              </a:extLst>
            </xdr:cNvPr>
            <xdr:cNvSpPr txBox="1"/>
          </xdr:nvSpPr>
          <xdr:spPr>
            <a:xfrm>
              <a:off x="8852619" y="403065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21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FC093098-AFEA-4625-9F3B-AA732982E1F7}"/>
                </a:ext>
              </a:extLst>
            </xdr:cNvPr>
            <xdr:cNvSpPr txBox="1"/>
          </xdr:nvSpPr>
          <xdr:spPr>
            <a:xfrm>
              <a:off x="8852619" y="422308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FC093098-AFEA-4625-9F3B-AA732982E1F7}"/>
                </a:ext>
              </a:extLst>
            </xdr:cNvPr>
            <xdr:cNvSpPr txBox="1"/>
          </xdr:nvSpPr>
          <xdr:spPr>
            <a:xfrm>
              <a:off x="8852619" y="422308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22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B857B807-355C-49DD-9312-FBEFA1FCA6C8}"/>
                </a:ext>
              </a:extLst>
            </xdr:cNvPr>
            <xdr:cNvSpPr txBox="1"/>
          </xdr:nvSpPr>
          <xdr:spPr>
            <a:xfrm>
              <a:off x="8852619" y="441550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B857B807-355C-49DD-9312-FBEFA1FCA6C8}"/>
                </a:ext>
              </a:extLst>
            </xdr:cNvPr>
            <xdr:cNvSpPr txBox="1"/>
          </xdr:nvSpPr>
          <xdr:spPr>
            <a:xfrm>
              <a:off x="8852619" y="441550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23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C6EE5013-B1B6-44D6-A7E3-3AFF230053ED}"/>
                </a:ext>
              </a:extLst>
            </xdr:cNvPr>
            <xdr:cNvSpPr txBox="1"/>
          </xdr:nvSpPr>
          <xdr:spPr>
            <a:xfrm>
              <a:off x="8852619" y="460793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C6EE5013-B1B6-44D6-A7E3-3AFF230053ED}"/>
                </a:ext>
              </a:extLst>
            </xdr:cNvPr>
            <xdr:cNvSpPr txBox="1"/>
          </xdr:nvSpPr>
          <xdr:spPr>
            <a:xfrm>
              <a:off x="8852619" y="460793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24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6831961E-2601-4B99-8CD9-30937AB2E514}"/>
                </a:ext>
              </a:extLst>
            </xdr:cNvPr>
            <xdr:cNvSpPr txBox="1"/>
          </xdr:nvSpPr>
          <xdr:spPr>
            <a:xfrm>
              <a:off x="8852619" y="480035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6831961E-2601-4B99-8CD9-30937AB2E514}"/>
                </a:ext>
              </a:extLst>
            </xdr:cNvPr>
            <xdr:cNvSpPr txBox="1"/>
          </xdr:nvSpPr>
          <xdr:spPr>
            <a:xfrm>
              <a:off x="8852619" y="480035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25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41D19FC1-C0F8-4B22-BAC9-BA7EDB6C3F40}"/>
                </a:ext>
              </a:extLst>
            </xdr:cNvPr>
            <xdr:cNvSpPr txBox="1"/>
          </xdr:nvSpPr>
          <xdr:spPr>
            <a:xfrm>
              <a:off x="8852619" y="499277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41D19FC1-C0F8-4B22-BAC9-BA7EDB6C3F40}"/>
                </a:ext>
              </a:extLst>
            </xdr:cNvPr>
            <xdr:cNvSpPr txBox="1"/>
          </xdr:nvSpPr>
          <xdr:spPr>
            <a:xfrm>
              <a:off x="8852619" y="499277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26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AF500B03-07E3-40C8-A855-F1702616705D}"/>
                </a:ext>
              </a:extLst>
            </xdr:cNvPr>
            <xdr:cNvSpPr txBox="1"/>
          </xdr:nvSpPr>
          <xdr:spPr>
            <a:xfrm>
              <a:off x="8852619" y="518520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AF500B03-07E3-40C8-A855-F1702616705D}"/>
                </a:ext>
              </a:extLst>
            </xdr:cNvPr>
            <xdr:cNvSpPr txBox="1"/>
          </xdr:nvSpPr>
          <xdr:spPr>
            <a:xfrm>
              <a:off x="8852619" y="518520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27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73296F19-695E-4BFB-8978-63549D2081A2}"/>
                </a:ext>
              </a:extLst>
            </xdr:cNvPr>
            <xdr:cNvSpPr txBox="1"/>
          </xdr:nvSpPr>
          <xdr:spPr>
            <a:xfrm>
              <a:off x="8852619" y="537762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73296F19-695E-4BFB-8978-63549D2081A2}"/>
                </a:ext>
              </a:extLst>
            </xdr:cNvPr>
            <xdr:cNvSpPr txBox="1"/>
          </xdr:nvSpPr>
          <xdr:spPr>
            <a:xfrm>
              <a:off x="8852619" y="537762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28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58B9F472-057F-4EAA-9B13-E0F4B2415987}"/>
                </a:ext>
              </a:extLst>
            </xdr:cNvPr>
            <xdr:cNvSpPr txBox="1"/>
          </xdr:nvSpPr>
          <xdr:spPr>
            <a:xfrm>
              <a:off x="8852619" y="557005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58B9F472-057F-4EAA-9B13-E0F4B2415987}"/>
                </a:ext>
              </a:extLst>
            </xdr:cNvPr>
            <xdr:cNvSpPr txBox="1"/>
          </xdr:nvSpPr>
          <xdr:spPr>
            <a:xfrm>
              <a:off x="8852619" y="557005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29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8635810A-37FB-4E17-8A21-3B625C836798}"/>
                </a:ext>
              </a:extLst>
            </xdr:cNvPr>
            <xdr:cNvSpPr txBox="1"/>
          </xdr:nvSpPr>
          <xdr:spPr>
            <a:xfrm>
              <a:off x="8852619" y="576247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8635810A-37FB-4E17-8A21-3B625C836798}"/>
                </a:ext>
              </a:extLst>
            </xdr:cNvPr>
            <xdr:cNvSpPr txBox="1"/>
          </xdr:nvSpPr>
          <xdr:spPr>
            <a:xfrm>
              <a:off x="8852619" y="576247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30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F20F2564-5B50-4978-A8AA-2ECDE0F8EDC5}"/>
                </a:ext>
              </a:extLst>
            </xdr:cNvPr>
            <xdr:cNvSpPr txBox="1"/>
          </xdr:nvSpPr>
          <xdr:spPr>
            <a:xfrm>
              <a:off x="8852619" y="595489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F20F2564-5B50-4978-A8AA-2ECDE0F8EDC5}"/>
                </a:ext>
              </a:extLst>
            </xdr:cNvPr>
            <xdr:cNvSpPr txBox="1"/>
          </xdr:nvSpPr>
          <xdr:spPr>
            <a:xfrm>
              <a:off x="8852619" y="595489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33</xdr:row>
      <xdr:rowOff>182172</xdr:rowOff>
    </xdr:from>
    <xdr:ext cx="800343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9FC01181-A69F-446A-A70C-07B4E40E8DD3}"/>
                </a:ext>
              </a:extLst>
            </xdr:cNvPr>
            <xdr:cNvSpPr txBox="1"/>
          </xdr:nvSpPr>
          <xdr:spPr>
            <a:xfrm>
              <a:off x="10844210" y="2298839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9FC01181-A69F-446A-A70C-07B4E40E8DD3}"/>
                </a:ext>
              </a:extLst>
            </xdr:cNvPr>
            <xdr:cNvSpPr txBox="1"/>
          </xdr:nvSpPr>
          <xdr:spPr>
            <a:xfrm>
              <a:off x="10844210" y="2298839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34</xdr:row>
      <xdr:rowOff>182172</xdr:rowOff>
    </xdr:from>
    <xdr:ext cx="891435" cy="2260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2DE9C7B7-209B-496A-B764-83E71B14FAB0}"/>
                </a:ext>
              </a:extLst>
            </xdr:cNvPr>
            <xdr:cNvSpPr txBox="1"/>
          </xdr:nvSpPr>
          <xdr:spPr>
            <a:xfrm>
              <a:off x="10844210" y="2491263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2DE9C7B7-209B-496A-B764-83E71B14FAB0}"/>
                </a:ext>
              </a:extLst>
            </xdr:cNvPr>
            <xdr:cNvSpPr txBox="1"/>
          </xdr:nvSpPr>
          <xdr:spPr>
            <a:xfrm>
              <a:off x="10844210" y="2491263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35</xdr:row>
      <xdr:rowOff>182171</xdr:rowOff>
    </xdr:from>
    <xdr:ext cx="868757" cy="2317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FDDE2F01-F35B-42B9-AA64-C063CC48029A}"/>
                </a:ext>
              </a:extLst>
            </xdr:cNvPr>
            <xdr:cNvSpPr txBox="1"/>
          </xdr:nvSpPr>
          <xdr:spPr>
            <a:xfrm>
              <a:off x="10844210" y="2683686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FDDE2F01-F35B-42B9-AA64-C063CC48029A}"/>
                </a:ext>
              </a:extLst>
            </xdr:cNvPr>
            <xdr:cNvSpPr txBox="1"/>
          </xdr:nvSpPr>
          <xdr:spPr>
            <a:xfrm>
              <a:off x="10844210" y="2683686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36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D0E3E739-0815-485F-AF56-31676E0C19F3}"/>
                </a:ext>
              </a:extLst>
            </xdr:cNvPr>
            <xdr:cNvSpPr txBox="1"/>
          </xdr:nvSpPr>
          <xdr:spPr>
            <a:xfrm>
              <a:off x="10844210" y="287611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D0E3E739-0815-485F-AF56-31676E0C19F3}"/>
                </a:ext>
              </a:extLst>
            </xdr:cNvPr>
            <xdr:cNvSpPr txBox="1"/>
          </xdr:nvSpPr>
          <xdr:spPr>
            <a:xfrm>
              <a:off x="10844210" y="287611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37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E58CF79F-2917-4C43-9B49-603609631C8B}"/>
                </a:ext>
              </a:extLst>
            </xdr:cNvPr>
            <xdr:cNvSpPr txBox="1"/>
          </xdr:nvSpPr>
          <xdr:spPr>
            <a:xfrm>
              <a:off x="10844210" y="306853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E58CF79F-2917-4C43-9B49-603609631C8B}"/>
                </a:ext>
              </a:extLst>
            </xdr:cNvPr>
            <xdr:cNvSpPr txBox="1"/>
          </xdr:nvSpPr>
          <xdr:spPr>
            <a:xfrm>
              <a:off x="10844210" y="306853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38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0058106-DB43-4791-A5B9-1A5949F8AD74}"/>
                </a:ext>
              </a:extLst>
            </xdr:cNvPr>
            <xdr:cNvSpPr txBox="1"/>
          </xdr:nvSpPr>
          <xdr:spPr>
            <a:xfrm>
              <a:off x="10844210" y="326096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90058106-DB43-4791-A5B9-1A5949F8AD74}"/>
                </a:ext>
              </a:extLst>
            </xdr:cNvPr>
            <xdr:cNvSpPr txBox="1"/>
          </xdr:nvSpPr>
          <xdr:spPr>
            <a:xfrm>
              <a:off x="10844210" y="326096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39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CF8F69DF-832B-4324-9490-6230CF13C696}"/>
                </a:ext>
              </a:extLst>
            </xdr:cNvPr>
            <xdr:cNvSpPr txBox="1"/>
          </xdr:nvSpPr>
          <xdr:spPr>
            <a:xfrm>
              <a:off x="10844210" y="345338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CF8F69DF-832B-4324-9490-6230CF13C696}"/>
                </a:ext>
              </a:extLst>
            </xdr:cNvPr>
            <xdr:cNvSpPr txBox="1"/>
          </xdr:nvSpPr>
          <xdr:spPr>
            <a:xfrm>
              <a:off x="10844210" y="345338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40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1C51E6A5-3147-4D29-B43B-D0A76DEDDEF0}"/>
                </a:ext>
              </a:extLst>
            </xdr:cNvPr>
            <xdr:cNvSpPr txBox="1"/>
          </xdr:nvSpPr>
          <xdr:spPr>
            <a:xfrm>
              <a:off x="10844210" y="364580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1C51E6A5-3147-4D29-B43B-D0A76DEDDEF0}"/>
                </a:ext>
              </a:extLst>
            </xdr:cNvPr>
            <xdr:cNvSpPr txBox="1"/>
          </xdr:nvSpPr>
          <xdr:spPr>
            <a:xfrm>
              <a:off x="10844210" y="364580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41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81955481-43B5-4492-8022-CA5DAFF82A0D}"/>
                </a:ext>
              </a:extLst>
            </xdr:cNvPr>
            <xdr:cNvSpPr txBox="1"/>
          </xdr:nvSpPr>
          <xdr:spPr>
            <a:xfrm>
              <a:off x="10844210" y="383823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81955481-43B5-4492-8022-CA5DAFF82A0D}"/>
                </a:ext>
              </a:extLst>
            </xdr:cNvPr>
            <xdr:cNvSpPr txBox="1"/>
          </xdr:nvSpPr>
          <xdr:spPr>
            <a:xfrm>
              <a:off x="10844210" y="383823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42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C3732CD0-3760-42A6-B5EF-1AEE1C905DC1}"/>
                </a:ext>
              </a:extLst>
            </xdr:cNvPr>
            <xdr:cNvSpPr txBox="1"/>
          </xdr:nvSpPr>
          <xdr:spPr>
            <a:xfrm>
              <a:off x="10844210" y="403065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C3732CD0-3760-42A6-B5EF-1AEE1C905DC1}"/>
                </a:ext>
              </a:extLst>
            </xdr:cNvPr>
            <xdr:cNvSpPr txBox="1"/>
          </xdr:nvSpPr>
          <xdr:spPr>
            <a:xfrm>
              <a:off x="10844210" y="403065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43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C9A34B1A-EFD9-4193-BF30-5983EA69101C}"/>
                </a:ext>
              </a:extLst>
            </xdr:cNvPr>
            <xdr:cNvSpPr txBox="1"/>
          </xdr:nvSpPr>
          <xdr:spPr>
            <a:xfrm>
              <a:off x="10844210" y="422308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C9A34B1A-EFD9-4193-BF30-5983EA69101C}"/>
                </a:ext>
              </a:extLst>
            </xdr:cNvPr>
            <xdr:cNvSpPr txBox="1"/>
          </xdr:nvSpPr>
          <xdr:spPr>
            <a:xfrm>
              <a:off x="10844210" y="422308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44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B40A1DB2-CE5F-4670-A6DE-EF841E885E2F}"/>
                </a:ext>
              </a:extLst>
            </xdr:cNvPr>
            <xdr:cNvSpPr txBox="1"/>
          </xdr:nvSpPr>
          <xdr:spPr>
            <a:xfrm>
              <a:off x="10844210" y="441550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B40A1DB2-CE5F-4670-A6DE-EF841E885E2F}"/>
                </a:ext>
              </a:extLst>
            </xdr:cNvPr>
            <xdr:cNvSpPr txBox="1"/>
          </xdr:nvSpPr>
          <xdr:spPr>
            <a:xfrm>
              <a:off x="10844210" y="441550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45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48709730-BA13-42BC-B138-B82DACE4CAB0}"/>
                </a:ext>
              </a:extLst>
            </xdr:cNvPr>
            <xdr:cNvSpPr txBox="1"/>
          </xdr:nvSpPr>
          <xdr:spPr>
            <a:xfrm>
              <a:off x="10844210" y="460793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48709730-BA13-42BC-B138-B82DACE4CAB0}"/>
                </a:ext>
              </a:extLst>
            </xdr:cNvPr>
            <xdr:cNvSpPr txBox="1"/>
          </xdr:nvSpPr>
          <xdr:spPr>
            <a:xfrm>
              <a:off x="10844210" y="460793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46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05E255B4-B8B9-43A6-A193-2DEDE3D2232C}"/>
                </a:ext>
              </a:extLst>
            </xdr:cNvPr>
            <xdr:cNvSpPr txBox="1"/>
          </xdr:nvSpPr>
          <xdr:spPr>
            <a:xfrm>
              <a:off x="10844210" y="480035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05E255B4-B8B9-43A6-A193-2DEDE3D2232C}"/>
                </a:ext>
              </a:extLst>
            </xdr:cNvPr>
            <xdr:cNvSpPr txBox="1"/>
          </xdr:nvSpPr>
          <xdr:spPr>
            <a:xfrm>
              <a:off x="10844210" y="480035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47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F9CCF0EB-FA35-4D82-897D-3DAA858C653A}"/>
                </a:ext>
              </a:extLst>
            </xdr:cNvPr>
            <xdr:cNvSpPr txBox="1"/>
          </xdr:nvSpPr>
          <xdr:spPr>
            <a:xfrm>
              <a:off x="10844210" y="499277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F9CCF0EB-FA35-4D82-897D-3DAA858C653A}"/>
                </a:ext>
              </a:extLst>
            </xdr:cNvPr>
            <xdr:cNvSpPr txBox="1"/>
          </xdr:nvSpPr>
          <xdr:spPr>
            <a:xfrm>
              <a:off x="10844210" y="499277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48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77645252-CEF2-41D0-A6CD-B65BB3D10797}"/>
                </a:ext>
              </a:extLst>
            </xdr:cNvPr>
            <xdr:cNvSpPr txBox="1"/>
          </xdr:nvSpPr>
          <xdr:spPr>
            <a:xfrm>
              <a:off x="10844210" y="518520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77645252-CEF2-41D0-A6CD-B65BB3D10797}"/>
                </a:ext>
              </a:extLst>
            </xdr:cNvPr>
            <xdr:cNvSpPr txBox="1"/>
          </xdr:nvSpPr>
          <xdr:spPr>
            <a:xfrm>
              <a:off x="10844210" y="518520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49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D2868CE5-9F8D-4763-98A9-66C1027AC61F}"/>
                </a:ext>
              </a:extLst>
            </xdr:cNvPr>
            <xdr:cNvSpPr txBox="1"/>
          </xdr:nvSpPr>
          <xdr:spPr>
            <a:xfrm>
              <a:off x="10844210" y="537762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D2868CE5-9F8D-4763-98A9-66C1027AC61F}"/>
                </a:ext>
              </a:extLst>
            </xdr:cNvPr>
            <xdr:cNvSpPr txBox="1"/>
          </xdr:nvSpPr>
          <xdr:spPr>
            <a:xfrm>
              <a:off x="10844210" y="537762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50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9ECA4C3A-A78B-4AE4-BD1E-E92EF6B25384}"/>
                </a:ext>
              </a:extLst>
            </xdr:cNvPr>
            <xdr:cNvSpPr txBox="1"/>
          </xdr:nvSpPr>
          <xdr:spPr>
            <a:xfrm>
              <a:off x="10844210" y="557005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9ECA4C3A-A78B-4AE4-BD1E-E92EF6B25384}"/>
                </a:ext>
              </a:extLst>
            </xdr:cNvPr>
            <xdr:cNvSpPr txBox="1"/>
          </xdr:nvSpPr>
          <xdr:spPr>
            <a:xfrm>
              <a:off x="10844210" y="557005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51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865D5A9C-C992-4FCA-9B6F-6F0BF25F55E2}"/>
                </a:ext>
              </a:extLst>
            </xdr:cNvPr>
            <xdr:cNvSpPr txBox="1"/>
          </xdr:nvSpPr>
          <xdr:spPr>
            <a:xfrm>
              <a:off x="10844210" y="576247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865D5A9C-C992-4FCA-9B6F-6F0BF25F55E2}"/>
                </a:ext>
              </a:extLst>
            </xdr:cNvPr>
            <xdr:cNvSpPr txBox="1"/>
          </xdr:nvSpPr>
          <xdr:spPr>
            <a:xfrm>
              <a:off x="10844210" y="576247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52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EB8C52FD-DCED-41E6-9527-5E9B4C391494}"/>
                </a:ext>
              </a:extLst>
            </xdr:cNvPr>
            <xdr:cNvSpPr txBox="1"/>
          </xdr:nvSpPr>
          <xdr:spPr>
            <a:xfrm>
              <a:off x="10844210" y="595489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EB8C52FD-DCED-41E6-9527-5E9B4C391494}"/>
                </a:ext>
              </a:extLst>
            </xdr:cNvPr>
            <xdr:cNvSpPr txBox="1"/>
          </xdr:nvSpPr>
          <xdr:spPr>
            <a:xfrm>
              <a:off x="10844210" y="595489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55</xdr:row>
      <xdr:rowOff>182172</xdr:rowOff>
    </xdr:from>
    <xdr:ext cx="800343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269DF96-828C-4FE9-9348-2E1DD01E38A3}"/>
                </a:ext>
              </a:extLst>
            </xdr:cNvPr>
            <xdr:cNvSpPr txBox="1"/>
          </xdr:nvSpPr>
          <xdr:spPr>
            <a:xfrm>
              <a:off x="10844210" y="6532172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269DF96-828C-4FE9-9348-2E1DD01E38A3}"/>
                </a:ext>
              </a:extLst>
            </xdr:cNvPr>
            <xdr:cNvSpPr txBox="1"/>
          </xdr:nvSpPr>
          <xdr:spPr>
            <a:xfrm>
              <a:off x="10844210" y="6532172"/>
              <a:ext cx="800343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56</xdr:row>
      <xdr:rowOff>182172</xdr:rowOff>
    </xdr:from>
    <xdr:ext cx="891435" cy="2260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8C0737D5-E6E9-4729-B6C1-3D081C65BCBF}"/>
                </a:ext>
              </a:extLst>
            </xdr:cNvPr>
            <xdr:cNvSpPr txBox="1"/>
          </xdr:nvSpPr>
          <xdr:spPr>
            <a:xfrm>
              <a:off x="10844210" y="6724596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8C0737D5-E6E9-4729-B6C1-3D081C65BCBF}"/>
                </a:ext>
              </a:extLst>
            </xdr:cNvPr>
            <xdr:cNvSpPr txBox="1"/>
          </xdr:nvSpPr>
          <xdr:spPr>
            <a:xfrm>
              <a:off x="10844210" y="6724596"/>
              <a:ext cx="891435" cy="226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57</xdr:row>
      <xdr:rowOff>182171</xdr:rowOff>
    </xdr:from>
    <xdr:ext cx="868757" cy="2317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4D3FECD9-4828-4DC6-8264-EA45CE7A9CA1}"/>
                </a:ext>
              </a:extLst>
            </xdr:cNvPr>
            <xdr:cNvSpPr txBox="1"/>
          </xdr:nvSpPr>
          <xdr:spPr>
            <a:xfrm>
              <a:off x="10844210" y="6917019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4D3FECD9-4828-4DC6-8264-EA45CE7A9CA1}"/>
                </a:ext>
              </a:extLst>
            </xdr:cNvPr>
            <xdr:cNvSpPr txBox="1"/>
          </xdr:nvSpPr>
          <xdr:spPr>
            <a:xfrm>
              <a:off x="10844210" y="6917019"/>
              <a:ext cx="868757" cy="231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58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6FD7EF11-520F-4CDA-A461-0FA98577114B}"/>
                </a:ext>
              </a:extLst>
            </xdr:cNvPr>
            <xdr:cNvSpPr txBox="1"/>
          </xdr:nvSpPr>
          <xdr:spPr>
            <a:xfrm>
              <a:off x="10844210" y="710944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6FD7EF11-520F-4CDA-A461-0FA98577114B}"/>
                </a:ext>
              </a:extLst>
            </xdr:cNvPr>
            <xdr:cNvSpPr txBox="1"/>
          </xdr:nvSpPr>
          <xdr:spPr>
            <a:xfrm>
              <a:off x="10844210" y="7109445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ℎ_(𝑎1,𝑎5)=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59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0F7E0090-B97E-4C71-932E-002330B89E04}"/>
                </a:ext>
              </a:extLst>
            </xdr:cNvPr>
            <xdr:cNvSpPr txBox="1"/>
          </xdr:nvSpPr>
          <xdr:spPr>
            <a:xfrm>
              <a:off x="10844210" y="730186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0F7E0090-B97E-4C71-932E-002330B89E04}"/>
                </a:ext>
              </a:extLst>
            </xdr:cNvPr>
            <xdr:cNvSpPr txBox="1"/>
          </xdr:nvSpPr>
          <xdr:spPr>
            <a:xfrm>
              <a:off x="10844210" y="730186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60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75F2F355-BF3B-4401-BE6C-2718D9DB5B44}"/>
                </a:ext>
              </a:extLst>
            </xdr:cNvPr>
            <xdr:cNvSpPr txBox="1"/>
          </xdr:nvSpPr>
          <xdr:spPr>
            <a:xfrm>
              <a:off x="10844210" y="749429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75F2F355-BF3B-4401-BE6C-2718D9DB5B44}"/>
                </a:ext>
              </a:extLst>
            </xdr:cNvPr>
            <xdr:cNvSpPr txBox="1"/>
          </xdr:nvSpPr>
          <xdr:spPr>
            <a:xfrm>
              <a:off x="10844210" y="749429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61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AB8B64D3-B291-441F-8A48-39E21351BFA2}"/>
                </a:ext>
              </a:extLst>
            </xdr:cNvPr>
            <xdr:cNvSpPr txBox="1"/>
          </xdr:nvSpPr>
          <xdr:spPr>
            <a:xfrm>
              <a:off x="10844210" y="768671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AB8B64D3-B291-441F-8A48-39E21351BFA2}"/>
                </a:ext>
              </a:extLst>
            </xdr:cNvPr>
            <xdr:cNvSpPr txBox="1"/>
          </xdr:nvSpPr>
          <xdr:spPr>
            <a:xfrm>
              <a:off x="10844210" y="768671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62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B7B53D4F-17A6-4E50-A3F8-8216C7AA41C3}"/>
                </a:ext>
              </a:extLst>
            </xdr:cNvPr>
            <xdr:cNvSpPr txBox="1"/>
          </xdr:nvSpPr>
          <xdr:spPr>
            <a:xfrm>
              <a:off x="10844210" y="787914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B7B53D4F-17A6-4E50-A3F8-8216C7AA41C3}"/>
                </a:ext>
              </a:extLst>
            </xdr:cNvPr>
            <xdr:cNvSpPr txBox="1"/>
          </xdr:nvSpPr>
          <xdr:spPr>
            <a:xfrm>
              <a:off x="10844210" y="7879142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ℎ_(𝑎2,𝑎5)=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63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C01450BE-DF60-4937-849E-99CBD4BF634F}"/>
                </a:ext>
              </a:extLst>
            </xdr:cNvPr>
            <xdr:cNvSpPr txBox="1"/>
          </xdr:nvSpPr>
          <xdr:spPr>
            <a:xfrm>
              <a:off x="10844210" y="807156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C01450BE-DF60-4937-849E-99CBD4BF634F}"/>
                </a:ext>
              </a:extLst>
            </xdr:cNvPr>
            <xdr:cNvSpPr txBox="1"/>
          </xdr:nvSpPr>
          <xdr:spPr>
            <a:xfrm>
              <a:off x="10844210" y="807156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64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3F0774CD-02B7-4581-91C1-413AE72ABCD9}"/>
                </a:ext>
              </a:extLst>
            </xdr:cNvPr>
            <xdr:cNvSpPr txBox="1"/>
          </xdr:nvSpPr>
          <xdr:spPr>
            <a:xfrm>
              <a:off x="10844210" y="826399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3F0774CD-02B7-4581-91C1-413AE72ABCD9}"/>
                </a:ext>
              </a:extLst>
            </xdr:cNvPr>
            <xdr:cNvSpPr txBox="1"/>
          </xdr:nvSpPr>
          <xdr:spPr>
            <a:xfrm>
              <a:off x="10844210" y="826399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65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F868450-A004-4173-B063-5D58E0FD2B18}"/>
                </a:ext>
              </a:extLst>
            </xdr:cNvPr>
            <xdr:cNvSpPr txBox="1"/>
          </xdr:nvSpPr>
          <xdr:spPr>
            <a:xfrm>
              <a:off x="10844210" y="845641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FF868450-A004-4173-B063-5D58E0FD2B18}"/>
                </a:ext>
              </a:extLst>
            </xdr:cNvPr>
            <xdr:cNvSpPr txBox="1"/>
          </xdr:nvSpPr>
          <xdr:spPr>
            <a:xfrm>
              <a:off x="10844210" y="845641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66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C9244380-F287-4E9F-A7B6-387F563600BF}"/>
                </a:ext>
              </a:extLst>
            </xdr:cNvPr>
            <xdr:cNvSpPr txBox="1"/>
          </xdr:nvSpPr>
          <xdr:spPr>
            <a:xfrm>
              <a:off x="10844210" y="864883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C9244380-F287-4E9F-A7B6-387F563600BF}"/>
                </a:ext>
              </a:extLst>
            </xdr:cNvPr>
            <xdr:cNvSpPr txBox="1"/>
          </xdr:nvSpPr>
          <xdr:spPr>
            <a:xfrm>
              <a:off x="10844210" y="8648839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ℎ_(𝑎3,𝑎5)=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67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09B1AD47-0A33-4634-95AD-95062809DAAD}"/>
                </a:ext>
              </a:extLst>
            </xdr:cNvPr>
            <xdr:cNvSpPr txBox="1"/>
          </xdr:nvSpPr>
          <xdr:spPr>
            <a:xfrm>
              <a:off x="10844210" y="884126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09B1AD47-0A33-4634-95AD-95062809DAAD}"/>
                </a:ext>
              </a:extLst>
            </xdr:cNvPr>
            <xdr:cNvSpPr txBox="1"/>
          </xdr:nvSpPr>
          <xdr:spPr>
            <a:xfrm>
              <a:off x="10844210" y="884126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68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EABBC4FA-B1DB-499D-9A51-C9F2CE5F0020}"/>
                </a:ext>
              </a:extLst>
            </xdr:cNvPr>
            <xdr:cNvSpPr txBox="1"/>
          </xdr:nvSpPr>
          <xdr:spPr>
            <a:xfrm>
              <a:off x="10844210" y="903368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EABBC4FA-B1DB-499D-9A51-C9F2CE5F0020}"/>
                </a:ext>
              </a:extLst>
            </xdr:cNvPr>
            <xdr:cNvSpPr txBox="1"/>
          </xdr:nvSpPr>
          <xdr:spPr>
            <a:xfrm>
              <a:off x="10844210" y="9033687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69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0CC5A4B9-E856-49A5-A2BB-CD609FB28649}"/>
                </a:ext>
              </a:extLst>
            </xdr:cNvPr>
            <xdr:cNvSpPr txBox="1"/>
          </xdr:nvSpPr>
          <xdr:spPr>
            <a:xfrm>
              <a:off x="10844210" y="922611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0CC5A4B9-E856-49A5-A2BB-CD609FB28649}"/>
                </a:ext>
              </a:extLst>
            </xdr:cNvPr>
            <xdr:cNvSpPr txBox="1"/>
          </xdr:nvSpPr>
          <xdr:spPr>
            <a:xfrm>
              <a:off x="10844210" y="9226111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70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B438400D-2456-4A1D-B491-6A62D352EB5E}"/>
                </a:ext>
              </a:extLst>
            </xdr:cNvPr>
            <xdr:cNvSpPr txBox="1"/>
          </xdr:nvSpPr>
          <xdr:spPr>
            <a:xfrm>
              <a:off x="10844210" y="941853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B438400D-2456-4A1D-B491-6A62D352EB5E}"/>
                </a:ext>
              </a:extLst>
            </xdr:cNvPr>
            <xdr:cNvSpPr txBox="1"/>
          </xdr:nvSpPr>
          <xdr:spPr>
            <a:xfrm>
              <a:off x="10844210" y="9418536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ℎ_(𝑎4,𝑎5)=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71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2E43EA77-236A-48A5-BFDF-69E404D3F1D9}"/>
                </a:ext>
              </a:extLst>
            </xdr:cNvPr>
            <xdr:cNvSpPr txBox="1"/>
          </xdr:nvSpPr>
          <xdr:spPr>
            <a:xfrm>
              <a:off x="10844210" y="961096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2E43EA77-236A-48A5-BFDF-69E404D3F1D9}"/>
                </a:ext>
              </a:extLst>
            </xdr:cNvPr>
            <xdr:cNvSpPr txBox="1"/>
          </xdr:nvSpPr>
          <xdr:spPr>
            <a:xfrm>
              <a:off x="10844210" y="9610960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ℎ_(𝑎5,𝑎1)=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72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97D108F2-53B8-4D8E-A1D5-CBC4053D75D3}"/>
                </a:ext>
              </a:extLst>
            </xdr:cNvPr>
            <xdr:cNvSpPr txBox="1"/>
          </xdr:nvSpPr>
          <xdr:spPr>
            <a:xfrm>
              <a:off x="10844210" y="980338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97D108F2-53B8-4D8E-A1D5-CBC4053D75D3}"/>
                </a:ext>
              </a:extLst>
            </xdr:cNvPr>
            <xdr:cNvSpPr txBox="1"/>
          </xdr:nvSpPr>
          <xdr:spPr>
            <a:xfrm>
              <a:off x="10844210" y="9803384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ℎ_(𝑎5,𝑎2)=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73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685B96CB-7F67-4070-BA14-3EB3140565CC}"/>
                </a:ext>
              </a:extLst>
            </xdr:cNvPr>
            <xdr:cNvSpPr txBox="1"/>
          </xdr:nvSpPr>
          <xdr:spPr>
            <a:xfrm>
              <a:off x="10844210" y="999580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3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685B96CB-7F67-4070-BA14-3EB3140565CC}"/>
                </a:ext>
              </a:extLst>
            </xdr:cNvPr>
            <xdr:cNvSpPr txBox="1"/>
          </xdr:nvSpPr>
          <xdr:spPr>
            <a:xfrm>
              <a:off x="10844210" y="9995808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ℎ_(𝑎5,𝑎3)=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16</xdr:col>
      <xdr:colOff>78074</xdr:colOff>
      <xdr:row>74</xdr:row>
      <xdr:rowOff>182172</xdr:rowOff>
    </xdr:from>
    <xdr:ext cx="1249181" cy="2251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290983B3-801D-4903-A2E0-8933759638AD}"/>
                </a:ext>
              </a:extLst>
            </xdr:cNvPr>
            <xdr:cNvSpPr txBox="1"/>
          </xdr:nvSpPr>
          <xdr:spPr>
            <a:xfrm>
              <a:off x="10844210" y="1018823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h</m:t>
                      </m:r>
                    </m:e>
                    <m:sub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</m:t>
                      </m:r>
                    </m:sub>
                  </m:sSub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290983B3-801D-4903-A2E0-8933759638AD}"/>
                </a:ext>
              </a:extLst>
            </xdr:cNvPr>
            <xdr:cNvSpPr txBox="1"/>
          </xdr:nvSpPr>
          <xdr:spPr>
            <a:xfrm>
              <a:off x="10844210" y="10188233"/>
              <a:ext cx="1249181" cy="2251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ℎ_(𝑎5,𝑎4)=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  <xdr:oneCellAnchor>
    <xdr:from>
      <xdr:col>31</xdr:col>
      <xdr:colOff>121780</xdr:colOff>
      <xdr:row>14</xdr:row>
      <xdr:rowOff>147877</xdr:rowOff>
    </xdr:from>
    <xdr:ext cx="2185150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AAFFE03E-8803-40F2-ABD0-25F6FACA0ED7}"/>
                </a:ext>
              </a:extLst>
            </xdr:cNvPr>
            <xdr:cNvSpPr txBox="1"/>
          </xdr:nvSpPr>
          <xdr:spPr>
            <a:xfrm>
              <a:off x="21503013" y="2948836"/>
              <a:ext cx="2185150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1 +0+0+0+0+0+1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AAFFE03E-8803-40F2-ABD0-25F6FACA0ED7}"/>
                </a:ext>
              </a:extLst>
            </xdr:cNvPr>
            <xdr:cNvSpPr txBox="1"/>
          </xdr:nvSpPr>
          <xdr:spPr>
            <a:xfrm>
              <a:off x="21503013" y="2948836"/>
              <a:ext cx="2185150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( 1 +0+0+0+0+0+1 )=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121781</xdr:colOff>
      <xdr:row>16</xdr:row>
      <xdr:rowOff>147877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00734219-6A14-4910-87E2-09475B39BBFF}"/>
                </a:ext>
              </a:extLst>
            </xdr:cNvPr>
            <xdr:cNvSpPr txBox="1"/>
          </xdr:nvSpPr>
          <xdr:spPr>
            <a:xfrm>
              <a:off x="21503014" y="3348973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1+0+0+0+0+0+0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00734219-6A14-4910-87E2-09475B39BBFF}"/>
                </a:ext>
              </a:extLst>
            </xdr:cNvPr>
            <xdr:cNvSpPr txBox="1"/>
          </xdr:nvSpPr>
          <xdr:spPr>
            <a:xfrm>
              <a:off x="21503014" y="3348973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( 1+0+0+0+0+0+0 )=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130480</xdr:colOff>
      <xdr:row>12</xdr:row>
      <xdr:rowOff>147876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D4C4DD96-2EED-41E2-B729-F69BEF95138D}"/>
                </a:ext>
              </a:extLst>
            </xdr:cNvPr>
            <xdr:cNvSpPr txBox="1"/>
          </xdr:nvSpPr>
          <xdr:spPr>
            <a:xfrm>
              <a:off x="21511713" y="2548698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0+0+1+0+0+1+0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D4C4DD96-2EED-41E2-B729-F69BEF95138D}"/>
                </a:ext>
              </a:extLst>
            </xdr:cNvPr>
            <xdr:cNvSpPr txBox="1"/>
          </xdr:nvSpPr>
          <xdr:spPr>
            <a:xfrm>
              <a:off x="21511713" y="2548698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( 0+0+1+0+0+1+0 )=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19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251FEAC4-AE36-4EF6-9165-89C720F3D0B7}"/>
                </a:ext>
              </a:extLst>
            </xdr:cNvPr>
            <xdr:cNvSpPr txBox="1"/>
          </xdr:nvSpPr>
          <xdr:spPr>
            <a:xfrm>
              <a:off x="20628041" y="3806826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251FEAC4-AE36-4EF6-9165-89C720F3D0B7}"/>
                </a:ext>
              </a:extLst>
            </xdr:cNvPr>
            <xdr:cNvSpPr txBox="1"/>
          </xdr:nvSpPr>
          <xdr:spPr>
            <a:xfrm>
              <a:off x="20628041" y="3806826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(𝑎2,𝑎1)=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124305</xdr:colOff>
      <xdr:row>18</xdr:row>
      <xdr:rowOff>117762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825721E6-5B33-462C-A5F0-6FCC5E3F4DB1}"/>
                </a:ext>
              </a:extLst>
            </xdr:cNvPr>
            <xdr:cNvSpPr txBox="1"/>
          </xdr:nvSpPr>
          <xdr:spPr>
            <a:xfrm>
              <a:off x="21505538" y="3718995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0+0+0+1+0+0+1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825721E6-5B33-462C-A5F0-6FCC5E3F4DB1}"/>
                </a:ext>
              </a:extLst>
            </xdr:cNvPr>
            <xdr:cNvSpPr txBox="1"/>
          </xdr:nvSpPr>
          <xdr:spPr>
            <a:xfrm>
              <a:off x="21505538" y="3718995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( 0+0+0+1+0+0+1 )=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21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4D55B6FD-D47C-4674-8C44-4CBDFD1348F6}"/>
                </a:ext>
              </a:extLst>
            </xdr:cNvPr>
            <xdr:cNvSpPr txBox="1"/>
          </xdr:nvSpPr>
          <xdr:spPr>
            <a:xfrm>
              <a:off x="20628041" y="4206963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4D55B6FD-D47C-4674-8C44-4CBDFD1348F6}"/>
                </a:ext>
              </a:extLst>
            </xdr:cNvPr>
            <xdr:cNvSpPr txBox="1"/>
          </xdr:nvSpPr>
          <xdr:spPr>
            <a:xfrm>
              <a:off x="20628041" y="4206963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(𝑎2,𝑎3)=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23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85F3B7DA-D423-4262-BBCC-1885A6910307}"/>
                </a:ext>
              </a:extLst>
            </xdr:cNvPr>
            <xdr:cNvSpPr txBox="1"/>
          </xdr:nvSpPr>
          <xdr:spPr>
            <a:xfrm>
              <a:off x="20628041" y="4607100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85F3B7DA-D423-4262-BBCC-1885A6910307}"/>
                </a:ext>
              </a:extLst>
            </xdr:cNvPr>
            <xdr:cNvSpPr txBox="1"/>
          </xdr:nvSpPr>
          <xdr:spPr>
            <a:xfrm>
              <a:off x="20628041" y="4607100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(𝑎2,𝑎4)=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25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0A937F38-324A-42F1-A09C-AE879FFDEE19}"/>
                </a:ext>
              </a:extLst>
            </xdr:cNvPr>
            <xdr:cNvSpPr txBox="1"/>
          </xdr:nvSpPr>
          <xdr:spPr>
            <a:xfrm>
              <a:off x="20628041" y="5007237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5)=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0A937F38-324A-42F1-A09C-AE879FFDEE19}"/>
                </a:ext>
              </a:extLst>
            </xdr:cNvPr>
            <xdr:cNvSpPr txBox="1"/>
          </xdr:nvSpPr>
          <xdr:spPr>
            <a:xfrm>
              <a:off x="20628041" y="5007237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(𝑎2,𝑎5)=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121780</xdr:colOff>
      <xdr:row>22</xdr:row>
      <xdr:rowOff>147877</xdr:rowOff>
    </xdr:from>
    <xdr:ext cx="2185150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AA2573A6-4E98-4592-BD44-724838993C14}"/>
                </a:ext>
              </a:extLst>
            </xdr:cNvPr>
            <xdr:cNvSpPr txBox="1"/>
          </xdr:nvSpPr>
          <xdr:spPr>
            <a:xfrm>
              <a:off x="21503013" y="4549384"/>
              <a:ext cx="2185150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1 +0+0+1+0+0+1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AA2573A6-4E98-4592-BD44-724838993C14}"/>
                </a:ext>
              </a:extLst>
            </xdr:cNvPr>
            <xdr:cNvSpPr txBox="1"/>
          </xdr:nvSpPr>
          <xdr:spPr>
            <a:xfrm>
              <a:off x="21503013" y="4549384"/>
              <a:ext cx="2185150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( 1 +0+0+1+0+0+1 )=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121781</xdr:colOff>
      <xdr:row>24</xdr:row>
      <xdr:rowOff>147877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2FC96FE1-C588-43E3-AB93-A95FE882475E}"/>
                </a:ext>
              </a:extLst>
            </xdr:cNvPr>
            <xdr:cNvSpPr txBox="1"/>
          </xdr:nvSpPr>
          <xdr:spPr>
            <a:xfrm>
              <a:off x="21503014" y="3348973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1+0+0+0+0+0+0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2FC96FE1-C588-43E3-AB93-A95FE882475E}"/>
                </a:ext>
              </a:extLst>
            </xdr:cNvPr>
            <xdr:cNvSpPr txBox="1"/>
          </xdr:nvSpPr>
          <xdr:spPr>
            <a:xfrm>
              <a:off x="21503014" y="3348973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( 1+0+0+0+0+0+0 )=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130480</xdr:colOff>
      <xdr:row>20</xdr:row>
      <xdr:rowOff>147876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B59ADFEB-FDD0-4F48-B503-BE09F8423539}"/>
                </a:ext>
              </a:extLst>
            </xdr:cNvPr>
            <xdr:cNvSpPr txBox="1"/>
          </xdr:nvSpPr>
          <xdr:spPr>
            <a:xfrm>
              <a:off x="21511713" y="4149246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0+0+0+0+0+0+0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B59ADFEB-FDD0-4F48-B503-BE09F8423539}"/>
                </a:ext>
              </a:extLst>
            </xdr:cNvPr>
            <xdr:cNvSpPr txBox="1"/>
          </xdr:nvSpPr>
          <xdr:spPr>
            <a:xfrm>
              <a:off x="21511713" y="4149246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( 0+0+0+0+0+0+0 )=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27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B034D825-C2B5-4BBE-9CA0-CD05C25A9DA2}"/>
                </a:ext>
              </a:extLst>
            </xdr:cNvPr>
            <xdr:cNvSpPr txBox="1"/>
          </xdr:nvSpPr>
          <xdr:spPr>
            <a:xfrm>
              <a:off x="20628041" y="5407374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B034D825-C2B5-4BBE-9CA0-CD05C25A9DA2}"/>
                </a:ext>
              </a:extLst>
            </xdr:cNvPr>
            <xdr:cNvSpPr txBox="1"/>
          </xdr:nvSpPr>
          <xdr:spPr>
            <a:xfrm>
              <a:off x="20628041" y="5407374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(𝑎3,𝑎1)=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124305</xdr:colOff>
      <xdr:row>26</xdr:row>
      <xdr:rowOff>117762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DC8661DD-5403-4BB8-BC9C-F4BBBE8C7A31}"/>
                </a:ext>
              </a:extLst>
            </xdr:cNvPr>
            <xdr:cNvSpPr txBox="1"/>
          </xdr:nvSpPr>
          <xdr:spPr>
            <a:xfrm>
              <a:off x="21505538" y="5319543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1+0+0+1+0+0+1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DC8661DD-5403-4BB8-BC9C-F4BBBE8C7A31}"/>
                </a:ext>
              </a:extLst>
            </xdr:cNvPr>
            <xdr:cNvSpPr txBox="1"/>
          </xdr:nvSpPr>
          <xdr:spPr>
            <a:xfrm>
              <a:off x="21505538" y="5319543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( 1+0+0+1+0+0+1 )=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29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3FA8DF76-A22E-420A-9D73-40412B14E10A}"/>
                </a:ext>
              </a:extLst>
            </xdr:cNvPr>
            <xdr:cNvSpPr txBox="1"/>
          </xdr:nvSpPr>
          <xdr:spPr>
            <a:xfrm>
              <a:off x="20628041" y="5807511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3FA8DF76-A22E-420A-9D73-40412B14E10A}"/>
                </a:ext>
              </a:extLst>
            </xdr:cNvPr>
            <xdr:cNvSpPr txBox="1"/>
          </xdr:nvSpPr>
          <xdr:spPr>
            <a:xfrm>
              <a:off x="20628041" y="5807511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(𝑎3,𝑎2)=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31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DE68F15A-8FAC-412C-9D2E-7045A30ECFB9}"/>
                </a:ext>
              </a:extLst>
            </xdr:cNvPr>
            <xdr:cNvSpPr txBox="1"/>
          </xdr:nvSpPr>
          <xdr:spPr>
            <a:xfrm>
              <a:off x="20628041" y="6207648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DE68F15A-8FAC-412C-9D2E-7045A30ECFB9}"/>
                </a:ext>
              </a:extLst>
            </xdr:cNvPr>
            <xdr:cNvSpPr txBox="1"/>
          </xdr:nvSpPr>
          <xdr:spPr>
            <a:xfrm>
              <a:off x="20628041" y="6207648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(𝑎3,𝑎4)=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33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98AB8E32-D107-40BB-B000-FDE4E3E06354}"/>
                </a:ext>
              </a:extLst>
            </xdr:cNvPr>
            <xdr:cNvSpPr txBox="1"/>
          </xdr:nvSpPr>
          <xdr:spPr>
            <a:xfrm>
              <a:off x="20628041" y="6607785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5)=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98AB8E32-D107-40BB-B000-FDE4E3E06354}"/>
                </a:ext>
              </a:extLst>
            </xdr:cNvPr>
            <xdr:cNvSpPr txBox="1"/>
          </xdr:nvSpPr>
          <xdr:spPr>
            <a:xfrm>
              <a:off x="20628041" y="6607785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(𝑎3,𝑎5)=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121780</xdr:colOff>
      <xdr:row>30</xdr:row>
      <xdr:rowOff>147877</xdr:rowOff>
    </xdr:from>
    <xdr:ext cx="2185150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33444997-7717-4926-8869-AE0566365B1D}"/>
                </a:ext>
              </a:extLst>
            </xdr:cNvPr>
            <xdr:cNvSpPr txBox="1"/>
          </xdr:nvSpPr>
          <xdr:spPr>
            <a:xfrm>
              <a:off x="21503013" y="4549384"/>
              <a:ext cx="2185150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1 +0+0+1+0+0+1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33444997-7717-4926-8869-AE0566365B1D}"/>
                </a:ext>
              </a:extLst>
            </xdr:cNvPr>
            <xdr:cNvSpPr txBox="1"/>
          </xdr:nvSpPr>
          <xdr:spPr>
            <a:xfrm>
              <a:off x="21503013" y="4549384"/>
              <a:ext cx="2185150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( 1 +0+0+1+0+0+1 )=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121781</xdr:colOff>
      <xdr:row>32</xdr:row>
      <xdr:rowOff>147877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2B4B0FB6-4913-4835-92FF-B87020A39472}"/>
                </a:ext>
              </a:extLst>
            </xdr:cNvPr>
            <xdr:cNvSpPr txBox="1"/>
          </xdr:nvSpPr>
          <xdr:spPr>
            <a:xfrm>
              <a:off x="21503014" y="4949521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1+0+0+0+0+0+0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2B4B0FB6-4913-4835-92FF-B87020A39472}"/>
                </a:ext>
              </a:extLst>
            </xdr:cNvPr>
            <xdr:cNvSpPr txBox="1"/>
          </xdr:nvSpPr>
          <xdr:spPr>
            <a:xfrm>
              <a:off x="21503014" y="4949521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( 1+0+0+0+0+0+0 )=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130480</xdr:colOff>
      <xdr:row>28</xdr:row>
      <xdr:rowOff>147876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05046FB7-D867-4DEC-81DD-D0DD4DE893FE}"/>
                </a:ext>
              </a:extLst>
            </xdr:cNvPr>
            <xdr:cNvSpPr txBox="1"/>
          </xdr:nvSpPr>
          <xdr:spPr>
            <a:xfrm>
              <a:off x="21511713" y="5749794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1+0+1+1+0+1+1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05046FB7-D867-4DEC-81DD-D0DD4DE893FE}"/>
                </a:ext>
              </a:extLst>
            </xdr:cNvPr>
            <xdr:cNvSpPr txBox="1"/>
          </xdr:nvSpPr>
          <xdr:spPr>
            <a:xfrm>
              <a:off x="21511713" y="5749794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( 1+0+1+1+0+1+1 )=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35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DC1ED70E-AD5C-4A89-8331-4094879CBA1A}"/>
                </a:ext>
              </a:extLst>
            </xdr:cNvPr>
            <xdr:cNvSpPr txBox="1"/>
          </xdr:nvSpPr>
          <xdr:spPr>
            <a:xfrm>
              <a:off x="20628041" y="7007922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DC1ED70E-AD5C-4A89-8331-4094879CBA1A}"/>
                </a:ext>
              </a:extLst>
            </xdr:cNvPr>
            <xdr:cNvSpPr txBox="1"/>
          </xdr:nvSpPr>
          <xdr:spPr>
            <a:xfrm>
              <a:off x="20628041" y="7007922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(𝑎4,𝑎1)=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124305</xdr:colOff>
      <xdr:row>34</xdr:row>
      <xdr:rowOff>117762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B7874A3C-696B-4708-B429-A035B555C079}"/>
                </a:ext>
              </a:extLst>
            </xdr:cNvPr>
            <xdr:cNvSpPr txBox="1"/>
          </xdr:nvSpPr>
          <xdr:spPr>
            <a:xfrm>
              <a:off x="21505538" y="6920091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0+1+1+0+1+1+0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B7874A3C-696B-4708-B429-A035B555C079}"/>
                </a:ext>
              </a:extLst>
            </xdr:cNvPr>
            <xdr:cNvSpPr txBox="1"/>
          </xdr:nvSpPr>
          <xdr:spPr>
            <a:xfrm>
              <a:off x="21505538" y="6920091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( 0+1+1+0+1+1+0 )=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37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8844E75B-AD76-4A3D-841F-DD07FE16C6AA}"/>
                </a:ext>
              </a:extLst>
            </xdr:cNvPr>
            <xdr:cNvSpPr txBox="1"/>
          </xdr:nvSpPr>
          <xdr:spPr>
            <a:xfrm>
              <a:off x="20628041" y="7408059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8844E75B-AD76-4A3D-841F-DD07FE16C6AA}"/>
                </a:ext>
              </a:extLst>
            </xdr:cNvPr>
            <xdr:cNvSpPr txBox="1"/>
          </xdr:nvSpPr>
          <xdr:spPr>
            <a:xfrm>
              <a:off x="20628041" y="7408059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(𝑎4,𝑎2)=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39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24E44BB7-C863-4B2D-B5CF-260909174B7C}"/>
                </a:ext>
              </a:extLst>
            </xdr:cNvPr>
            <xdr:cNvSpPr txBox="1"/>
          </xdr:nvSpPr>
          <xdr:spPr>
            <a:xfrm>
              <a:off x="20628041" y="7808196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24E44BB7-C863-4B2D-B5CF-260909174B7C}"/>
                </a:ext>
              </a:extLst>
            </xdr:cNvPr>
            <xdr:cNvSpPr txBox="1"/>
          </xdr:nvSpPr>
          <xdr:spPr>
            <a:xfrm>
              <a:off x="20628041" y="7808196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(𝑎4,𝑎3)=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41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5E6CD8F8-7AFD-429E-9574-2E661738B4D1}"/>
                </a:ext>
              </a:extLst>
            </xdr:cNvPr>
            <xdr:cNvSpPr txBox="1"/>
          </xdr:nvSpPr>
          <xdr:spPr>
            <a:xfrm>
              <a:off x="20628041" y="8208333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5)=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5E6CD8F8-7AFD-429E-9574-2E661738B4D1}"/>
                </a:ext>
              </a:extLst>
            </xdr:cNvPr>
            <xdr:cNvSpPr txBox="1"/>
          </xdr:nvSpPr>
          <xdr:spPr>
            <a:xfrm>
              <a:off x="20628041" y="8208333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(𝑎4,𝑎5)=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121780</xdr:colOff>
      <xdr:row>38</xdr:row>
      <xdr:rowOff>147877</xdr:rowOff>
    </xdr:from>
    <xdr:ext cx="2185150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7DD790C1-E734-466E-953F-2E952D26973F}"/>
                </a:ext>
              </a:extLst>
            </xdr:cNvPr>
            <xdr:cNvSpPr txBox="1"/>
          </xdr:nvSpPr>
          <xdr:spPr>
            <a:xfrm>
              <a:off x="21503013" y="7750480"/>
              <a:ext cx="2185150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0 +1+1+0+1+1+0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7DD790C1-E734-466E-953F-2E952D26973F}"/>
                </a:ext>
              </a:extLst>
            </xdr:cNvPr>
            <xdr:cNvSpPr txBox="1"/>
          </xdr:nvSpPr>
          <xdr:spPr>
            <a:xfrm>
              <a:off x="21503013" y="7750480"/>
              <a:ext cx="2185150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( 0 +1+1+0+1+1+0 )=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121781</xdr:colOff>
      <xdr:row>40</xdr:row>
      <xdr:rowOff>147877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9FD73CF4-BB1E-40E6-B117-60BB141879CB}"/>
                </a:ext>
              </a:extLst>
            </xdr:cNvPr>
            <xdr:cNvSpPr txBox="1"/>
          </xdr:nvSpPr>
          <xdr:spPr>
            <a:xfrm>
              <a:off x="21503014" y="8150617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0+1+0+0+1+1+0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9FD73CF4-BB1E-40E6-B117-60BB141879CB}"/>
                </a:ext>
              </a:extLst>
            </xdr:cNvPr>
            <xdr:cNvSpPr txBox="1"/>
          </xdr:nvSpPr>
          <xdr:spPr>
            <a:xfrm>
              <a:off x="21503014" y="8150617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( 0+1+0+0+1+1+0 )=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130480</xdr:colOff>
      <xdr:row>36</xdr:row>
      <xdr:rowOff>147876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12030790-BE39-4E35-86AD-B737ADC8922F}"/>
                </a:ext>
              </a:extLst>
            </xdr:cNvPr>
            <xdr:cNvSpPr txBox="1"/>
          </xdr:nvSpPr>
          <xdr:spPr>
            <a:xfrm>
              <a:off x="21511713" y="7350342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0+1+1+0+1+1+0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12030790-BE39-4E35-86AD-B737ADC8922F}"/>
                </a:ext>
              </a:extLst>
            </xdr:cNvPr>
            <xdr:cNvSpPr txBox="1"/>
          </xdr:nvSpPr>
          <xdr:spPr>
            <a:xfrm>
              <a:off x="21511713" y="7350342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( 0+1+1+0+1+1+0 )=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43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0BBE04B9-CA1E-41F0-8D97-EFCF826EEC66}"/>
                </a:ext>
              </a:extLst>
            </xdr:cNvPr>
            <xdr:cNvSpPr txBox="1"/>
          </xdr:nvSpPr>
          <xdr:spPr>
            <a:xfrm>
              <a:off x="20628041" y="8608470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5,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0BBE04B9-CA1E-41F0-8D97-EFCF826EEC66}"/>
                </a:ext>
              </a:extLst>
            </xdr:cNvPr>
            <xdr:cNvSpPr txBox="1"/>
          </xdr:nvSpPr>
          <xdr:spPr>
            <a:xfrm>
              <a:off x="20628041" y="8608470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(𝑎5,𝑎1)=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124305</xdr:colOff>
      <xdr:row>42</xdr:row>
      <xdr:rowOff>117762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672DEDE4-3805-4DD7-9D71-902D1B57E550}"/>
                </a:ext>
              </a:extLst>
            </xdr:cNvPr>
            <xdr:cNvSpPr txBox="1"/>
          </xdr:nvSpPr>
          <xdr:spPr>
            <a:xfrm>
              <a:off x="21505538" y="8520639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0+0+1+1+0+1+1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672DEDE4-3805-4DD7-9D71-902D1B57E550}"/>
                </a:ext>
              </a:extLst>
            </xdr:cNvPr>
            <xdr:cNvSpPr txBox="1"/>
          </xdr:nvSpPr>
          <xdr:spPr>
            <a:xfrm>
              <a:off x="21505538" y="8520639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( 0+0+1+1+0+1+1 )=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45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DC0B6C91-CFD4-49EF-9A9F-641C269D9400}"/>
                </a:ext>
              </a:extLst>
            </xdr:cNvPr>
            <xdr:cNvSpPr txBox="1"/>
          </xdr:nvSpPr>
          <xdr:spPr>
            <a:xfrm>
              <a:off x="20628041" y="9008607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5,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DC0B6C91-CFD4-49EF-9A9F-641C269D9400}"/>
                </a:ext>
              </a:extLst>
            </xdr:cNvPr>
            <xdr:cNvSpPr txBox="1"/>
          </xdr:nvSpPr>
          <xdr:spPr>
            <a:xfrm>
              <a:off x="20628041" y="9008607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(𝑎5,𝑎2)=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47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75C89ED2-599A-4C61-B884-64DA759DED1B}"/>
                </a:ext>
              </a:extLst>
            </xdr:cNvPr>
            <xdr:cNvSpPr txBox="1"/>
          </xdr:nvSpPr>
          <xdr:spPr>
            <a:xfrm>
              <a:off x="20628041" y="9408744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5,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75C89ED2-599A-4C61-B884-64DA759DED1B}"/>
                </a:ext>
              </a:extLst>
            </xdr:cNvPr>
            <xdr:cNvSpPr txBox="1"/>
          </xdr:nvSpPr>
          <xdr:spPr>
            <a:xfrm>
              <a:off x="20628041" y="9408744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(𝑎5,𝑎3)=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30</xdr:col>
      <xdr:colOff>20986</xdr:colOff>
      <xdr:row>49</xdr:row>
      <xdr:rowOff>5525</xdr:rowOff>
    </xdr:from>
    <xdr:ext cx="74603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EEC8295E-9BC9-448E-A4B0-4157EFC316B0}"/>
                </a:ext>
              </a:extLst>
            </xdr:cNvPr>
            <xdr:cNvSpPr txBox="1"/>
          </xdr:nvSpPr>
          <xdr:spPr>
            <a:xfrm>
              <a:off x="20628041" y="9808881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5,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4)=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EEC8295E-9BC9-448E-A4B0-4157EFC316B0}"/>
                </a:ext>
              </a:extLst>
            </xdr:cNvPr>
            <xdr:cNvSpPr txBox="1"/>
          </xdr:nvSpPr>
          <xdr:spPr>
            <a:xfrm>
              <a:off x="20628041" y="9808881"/>
              <a:ext cx="74603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b="0" i="0">
                  <a:latin typeface="Cambria Math" panose="02040503050406030204" pitchFamily="18" charset="0"/>
                </a:rPr>
                <a:t>(𝑎5,𝑎4)=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121780</xdr:colOff>
      <xdr:row>46</xdr:row>
      <xdr:rowOff>147877</xdr:rowOff>
    </xdr:from>
    <xdr:ext cx="2185150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0F98CEFE-4DD2-453D-821F-E94C81A595E4}"/>
                </a:ext>
              </a:extLst>
            </xdr:cNvPr>
            <xdr:cNvSpPr txBox="1"/>
          </xdr:nvSpPr>
          <xdr:spPr>
            <a:xfrm>
              <a:off x="21503013" y="9351028"/>
              <a:ext cx="2185150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0 +0+1+1+0+1+1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0F98CEFE-4DD2-453D-821F-E94C81A595E4}"/>
                </a:ext>
              </a:extLst>
            </xdr:cNvPr>
            <xdr:cNvSpPr txBox="1"/>
          </xdr:nvSpPr>
          <xdr:spPr>
            <a:xfrm>
              <a:off x="21503013" y="9351028"/>
              <a:ext cx="2185150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( 0 +0+1+1+0+1+1 )=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121781</xdr:colOff>
      <xdr:row>48</xdr:row>
      <xdr:rowOff>147877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75655585-D04A-4326-A2FB-653B46871EA1}"/>
                </a:ext>
              </a:extLst>
            </xdr:cNvPr>
            <xdr:cNvSpPr txBox="1"/>
          </xdr:nvSpPr>
          <xdr:spPr>
            <a:xfrm>
              <a:off x="21503014" y="9751165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1+0+1+1+0+0+1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75655585-D04A-4326-A2FB-653B46871EA1}"/>
                </a:ext>
              </a:extLst>
            </xdr:cNvPr>
            <xdr:cNvSpPr txBox="1"/>
          </xdr:nvSpPr>
          <xdr:spPr>
            <a:xfrm>
              <a:off x="21503014" y="9751165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( 1+0+1+1+0+0+1 )=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31</xdr:col>
      <xdr:colOff>130480</xdr:colOff>
      <xdr:row>44</xdr:row>
      <xdr:rowOff>147876</xdr:rowOff>
    </xdr:from>
    <xdr:ext cx="2154116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ACFB31F7-118A-4A05-8234-48565BBB2A18}"/>
                </a:ext>
              </a:extLst>
            </xdr:cNvPr>
            <xdr:cNvSpPr txBox="1"/>
          </xdr:nvSpPr>
          <xdr:spPr>
            <a:xfrm>
              <a:off x="21511713" y="8950890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7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0+0+1+1+0+1+1 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ACFB31F7-118A-4A05-8234-48565BBB2A18}"/>
                </a:ext>
              </a:extLst>
            </xdr:cNvPr>
            <xdr:cNvSpPr txBox="1"/>
          </xdr:nvSpPr>
          <xdr:spPr>
            <a:xfrm>
              <a:off x="21511713" y="8950890"/>
              <a:ext cx="2154116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1/7  𝑥 ( 0+0+1+1+0+1+1 )=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39</xdr:col>
      <xdr:colOff>603707</xdr:colOff>
      <xdr:row>18</xdr:row>
      <xdr:rowOff>116363</xdr:rowOff>
    </xdr:from>
    <xdr:ext cx="1518749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5AEC4F9-AC53-4277-8624-D70C1F09FA10}"/>
                </a:ext>
              </a:extLst>
            </xdr:cNvPr>
            <xdr:cNvSpPr txBox="1"/>
          </xdr:nvSpPr>
          <xdr:spPr>
            <a:xfrm>
              <a:off x="27184156" y="3633286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5 −1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0.8571=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5AEC4F9-AC53-4277-8624-D70C1F09FA10}"/>
                </a:ext>
              </a:extLst>
            </xdr:cNvPr>
            <xdr:cNvSpPr txBox="1"/>
          </xdr:nvSpPr>
          <xdr:spPr>
            <a:xfrm>
              <a:off x="27184156" y="3633286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𝑎2=  1/(5 −1)  𝑥 0.8571=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39</xdr:col>
      <xdr:colOff>603707</xdr:colOff>
      <xdr:row>20</xdr:row>
      <xdr:rowOff>116363</xdr:rowOff>
    </xdr:from>
    <xdr:ext cx="1518749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DC9F86-AE23-4CBF-A2E8-BDFDCB559EF5}"/>
                </a:ext>
              </a:extLst>
            </xdr:cNvPr>
            <xdr:cNvSpPr txBox="1"/>
          </xdr:nvSpPr>
          <xdr:spPr>
            <a:xfrm>
              <a:off x="27184156" y="4024055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5 −1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1.7143=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DC9F86-AE23-4CBF-A2E8-BDFDCB559EF5}"/>
                </a:ext>
              </a:extLst>
            </xdr:cNvPr>
            <xdr:cNvSpPr txBox="1"/>
          </xdr:nvSpPr>
          <xdr:spPr>
            <a:xfrm>
              <a:off x="27184156" y="4024055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𝑎3=  1/(5 −1)  𝑥 1.7143=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39</xdr:col>
      <xdr:colOff>603707</xdr:colOff>
      <xdr:row>22</xdr:row>
      <xdr:rowOff>116363</xdr:rowOff>
    </xdr:from>
    <xdr:ext cx="1518749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311B6A7-9540-4BC3-856F-25350F8C7216}"/>
                </a:ext>
              </a:extLst>
            </xdr:cNvPr>
            <xdr:cNvSpPr txBox="1"/>
          </xdr:nvSpPr>
          <xdr:spPr>
            <a:xfrm>
              <a:off x="27184156" y="4414825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5 −1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2.1429=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311B6A7-9540-4BC3-856F-25350F8C7216}"/>
                </a:ext>
              </a:extLst>
            </xdr:cNvPr>
            <xdr:cNvSpPr txBox="1"/>
          </xdr:nvSpPr>
          <xdr:spPr>
            <a:xfrm>
              <a:off x="27184156" y="4414825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𝑎4=  1/(5 −1)  𝑥 2.1429=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39</xdr:col>
      <xdr:colOff>603707</xdr:colOff>
      <xdr:row>24</xdr:row>
      <xdr:rowOff>116363</xdr:rowOff>
    </xdr:from>
    <xdr:ext cx="1518749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A65ACBA-FF93-4874-B8A4-F4462A975BCC}"/>
                </a:ext>
              </a:extLst>
            </xdr:cNvPr>
            <xdr:cNvSpPr txBox="1"/>
          </xdr:nvSpPr>
          <xdr:spPr>
            <a:xfrm>
              <a:off x="27184156" y="4805594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5=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5 −1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2.2857=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A65ACBA-FF93-4874-B8A4-F4462A975BCC}"/>
                </a:ext>
              </a:extLst>
            </xdr:cNvPr>
            <xdr:cNvSpPr txBox="1"/>
          </xdr:nvSpPr>
          <xdr:spPr>
            <a:xfrm>
              <a:off x="27184156" y="4805594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𝑎5=  1/(5 −1)  𝑥 2.2857=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39</xdr:col>
      <xdr:colOff>603707</xdr:colOff>
      <xdr:row>28</xdr:row>
      <xdr:rowOff>116363</xdr:rowOff>
    </xdr:from>
    <xdr:ext cx="1518749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08FA76A-0E0D-40F8-A96A-A04AA3A33927}"/>
                </a:ext>
              </a:extLst>
            </xdr:cNvPr>
            <xdr:cNvSpPr txBox="1"/>
          </xdr:nvSpPr>
          <xdr:spPr>
            <a:xfrm>
              <a:off x="27184156" y="5587132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5 −1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1.8571=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08FA76A-0E0D-40F8-A96A-A04AA3A33927}"/>
                </a:ext>
              </a:extLst>
            </xdr:cNvPr>
            <xdr:cNvSpPr txBox="1"/>
          </xdr:nvSpPr>
          <xdr:spPr>
            <a:xfrm>
              <a:off x="27184156" y="5587132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𝑎1=  1/(5 −1)  𝑥 1.8571=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39</xdr:col>
      <xdr:colOff>603707</xdr:colOff>
      <xdr:row>30</xdr:row>
      <xdr:rowOff>116363</xdr:rowOff>
    </xdr:from>
    <xdr:ext cx="1550616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EB97137-15FD-4BC3-BC6F-550BF8D66D2D}"/>
                </a:ext>
              </a:extLst>
            </xdr:cNvPr>
            <xdr:cNvSpPr txBox="1"/>
          </xdr:nvSpPr>
          <xdr:spPr>
            <a:xfrm>
              <a:off x="27184156" y="5977901"/>
              <a:ext cx="155061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5 −1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2.2857</m:t>
                    </m:r>
                    <m:r>
                      <m:rPr>
                        <m:nor/>
                      </m:rPr>
                      <a:rPr lang="en-US"/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EB97137-15FD-4BC3-BC6F-550BF8D66D2D}"/>
                </a:ext>
              </a:extLst>
            </xdr:cNvPr>
            <xdr:cNvSpPr txBox="1"/>
          </xdr:nvSpPr>
          <xdr:spPr>
            <a:xfrm>
              <a:off x="27184156" y="5977901"/>
              <a:ext cx="155061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𝑎2=  1/(5 −1)  𝑥 2.2857"</a:t>
              </a:r>
              <a:r>
                <a:rPr lang="en-US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"=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39</xdr:col>
      <xdr:colOff>603707</xdr:colOff>
      <xdr:row>32</xdr:row>
      <xdr:rowOff>116363</xdr:rowOff>
    </xdr:from>
    <xdr:ext cx="1518749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0A11F11-80CA-4BEE-A121-E4CB55B6625D}"/>
                </a:ext>
              </a:extLst>
            </xdr:cNvPr>
            <xdr:cNvSpPr txBox="1"/>
          </xdr:nvSpPr>
          <xdr:spPr>
            <a:xfrm>
              <a:off x="27184156" y="6368671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5 −1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1.4286=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0A11F11-80CA-4BEE-A121-E4CB55B6625D}"/>
                </a:ext>
              </a:extLst>
            </xdr:cNvPr>
            <xdr:cNvSpPr txBox="1"/>
          </xdr:nvSpPr>
          <xdr:spPr>
            <a:xfrm>
              <a:off x="27184156" y="6368671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𝑎3=  1/(5 −1)  𝑥 1.4286=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39</xdr:col>
      <xdr:colOff>603707</xdr:colOff>
      <xdr:row>34</xdr:row>
      <xdr:rowOff>116363</xdr:rowOff>
    </xdr:from>
    <xdr:ext cx="1518749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3806DAA-5748-43EE-ABBC-9B55CCFD3705}"/>
                </a:ext>
              </a:extLst>
            </xdr:cNvPr>
            <xdr:cNvSpPr txBox="1"/>
          </xdr:nvSpPr>
          <xdr:spPr>
            <a:xfrm>
              <a:off x="27184156" y="6759440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5 −1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1.7143=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3806DAA-5748-43EE-ABBC-9B55CCFD3705}"/>
                </a:ext>
              </a:extLst>
            </xdr:cNvPr>
            <xdr:cNvSpPr txBox="1"/>
          </xdr:nvSpPr>
          <xdr:spPr>
            <a:xfrm>
              <a:off x="27184156" y="6759440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𝑎4=  1/(5 −1)  𝑥 1.7143=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39</xdr:col>
      <xdr:colOff>603707</xdr:colOff>
      <xdr:row>36</xdr:row>
      <xdr:rowOff>116363</xdr:rowOff>
    </xdr:from>
    <xdr:ext cx="1518749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0CD3E8-D4E6-4B87-B37A-756FD8428A00}"/>
                </a:ext>
              </a:extLst>
            </xdr:cNvPr>
            <xdr:cNvSpPr txBox="1"/>
          </xdr:nvSpPr>
          <xdr:spPr>
            <a:xfrm>
              <a:off x="27184156" y="7150209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5=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5 −1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0.8571=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0CD3E8-D4E6-4B87-B37A-756FD8428A00}"/>
                </a:ext>
              </a:extLst>
            </xdr:cNvPr>
            <xdr:cNvSpPr txBox="1"/>
          </xdr:nvSpPr>
          <xdr:spPr>
            <a:xfrm>
              <a:off x="27184156" y="7150209"/>
              <a:ext cx="1518749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𝑎5=  1/(5 −1)  𝑥 0.8571=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45</xdr:col>
      <xdr:colOff>247650</xdr:colOff>
      <xdr:row>20</xdr:row>
      <xdr:rowOff>12700</xdr:rowOff>
    </xdr:from>
    <xdr:ext cx="33316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970E041-BDA3-4F11-B8B2-D83FF22D50BB}"/>
                </a:ext>
              </a:extLst>
            </xdr:cNvPr>
            <xdr:cNvSpPr txBox="1"/>
          </xdr:nvSpPr>
          <xdr:spPr>
            <a:xfrm>
              <a:off x="31769701" y="3920392"/>
              <a:ext cx="33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4=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970E041-BDA3-4F11-B8B2-D83FF22D50BB}"/>
                </a:ext>
              </a:extLst>
            </xdr:cNvPr>
            <xdr:cNvSpPr txBox="1"/>
          </xdr:nvSpPr>
          <xdr:spPr>
            <a:xfrm>
              <a:off x="31769701" y="3920392"/>
              <a:ext cx="33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𝑎4=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45</xdr:col>
      <xdr:colOff>247650</xdr:colOff>
      <xdr:row>21</xdr:row>
      <xdr:rowOff>12700</xdr:rowOff>
    </xdr:from>
    <xdr:ext cx="33316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4456E27-9684-484E-ABA6-F98BE41CB791}"/>
                </a:ext>
              </a:extLst>
            </xdr:cNvPr>
            <xdr:cNvSpPr txBox="1"/>
          </xdr:nvSpPr>
          <xdr:spPr>
            <a:xfrm>
              <a:off x="31769701" y="4115777"/>
              <a:ext cx="33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5=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4456E27-9684-484E-ABA6-F98BE41CB791}"/>
                </a:ext>
              </a:extLst>
            </xdr:cNvPr>
            <xdr:cNvSpPr txBox="1"/>
          </xdr:nvSpPr>
          <xdr:spPr>
            <a:xfrm>
              <a:off x="31769701" y="4115777"/>
              <a:ext cx="3331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𝑎5=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AFD7-EF20-4BFC-A08E-A181D01B3524}">
  <dimension ref="A1:BG321"/>
  <sheetViews>
    <sheetView tabSelected="1" topLeftCell="G17" zoomScale="49" zoomScaleNormal="70" workbookViewId="0">
      <selection activeCell="AD17" sqref="AD17:AD33"/>
    </sheetView>
  </sheetViews>
  <sheetFormatPr defaultRowHeight="14.5" x14ac:dyDescent="0.35"/>
  <cols>
    <col min="3" max="3" width="10.7265625" customWidth="1"/>
    <col min="4" max="4" width="10.90625" customWidth="1"/>
    <col min="5" max="5" width="11.6328125" customWidth="1"/>
    <col min="6" max="6" width="10.90625" customWidth="1"/>
    <col min="7" max="7" width="9.26953125" customWidth="1"/>
    <col min="8" max="11" width="8.81640625" bestFit="1" customWidth="1"/>
    <col min="13" max="13" width="11" customWidth="1"/>
    <col min="15" max="15" width="10.6328125" customWidth="1"/>
    <col min="16" max="16" width="9.1796875" bestFit="1" customWidth="1"/>
    <col min="17" max="17" width="9.6328125" customWidth="1"/>
    <col min="18" max="27" width="10.453125" customWidth="1"/>
    <col min="28" max="29" width="8.81640625" bestFit="1" customWidth="1"/>
    <col min="31" max="31" width="11.36328125" customWidth="1"/>
    <col min="32" max="35" width="8.81640625" bestFit="1" customWidth="1"/>
    <col min="38" max="38" width="11" customWidth="1"/>
    <col min="39" max="39" width="9.453125" customWidth="1"/>
    <col min="40" max="40" width="8.7265625" customWidth="1"/>
    <col min="41" max="41" width="19.81640625" customWidth="1"/>
    <col min="42" max="42" width="15.36328125" bestFit="1" customWidth="1"/>
    <col min="43" max="43" width="8.81640625" customWidth="1"/>
    <col min="44" max="45" width="9" customWidth="1"/>
    <col min="46" max="46" width="9.90625" customWidth="1"/>
    <col min="47" max="47" width="19.6328125" customWidth="1"/>
    <col min="50" max="50" width="11.453125" customWidth="1"/>
    <col min="57" max="57" width="13" customWidth="1"/>
  </cols>
  <sheetData>
    <row r="1" spans="1:59" ht="15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9" ht="15.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9" ht="15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9" ht="15.5" x14ac:dyDescent="0.35">
      <c r="A4" s="1"/>
      <c r="B4" s="1"/>
      <c r="C4" s="22" t="s">
        <v>0</v>
      </c>
      <c r="D4" s="2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ht="15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ht="15.5" x14ac:dyDescent="0.35">
      <c r="A6" s="1"/>
      <c r="B6" s="1"/>
      <c r="C6" s="1" t="s">
        <v>1</v>
      </c>
      <c r="D6" s="3" t="s">
        <v>2</v>
      </c>
      <c r="E6" s="25" t="s">
        <v>3</v>
      </c>
      <c r="F6" s="25"/>
      <c r="G6" s="3" t="s">
        <v>35</v>
      </c>
      <c r="H6" s="3" t="s">
        <v>54</v>
      </c>
      <c r="I6" s="1"/>
      <c r="J6" s="1"/>
      <c r="K6" s="1"/>
      <c r="L6" s="1"/>
      <c r="M6" s="1" t="s">
        <v>14</v>
      </c>
      <c r="N6" s="21" t="s">
        <v>15</v>
      </c>
      <c r="O6" s="21"/>
      <c r="P6" s="21"/>
      <c r="Q6" s="2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 t="s">
        <v>23</v>
      </c>
      <c r="AF6" s="21" t="s">
        <v>24</v>
      </c>
      <c r="AG6" s="21"/>
      <c r="AH6" s="21"/>
      <c r="AI6" s="21"/>
      <c r="AJ6" s="21"/>
      <c r="AK6" s="1"/>
      <c r="AL6" s="1" t="s">
        <v>25</v>
      </c>
      <c r="AM6" s="21" t="s">
        <v>26</v>
      </c>
      <c r="AN6" s="21"/>
      <c r="AO6" s="21"/>
      <c r="AP6" s="21"/>
      <c r="AQ6" s="21"/>
      <c r="AR6" s="21"/>
      <c r="AS6" s="10"/>
      <c r="AT6" s="1"/>
      <c r="AU6" s="1"/>
      <c r="AV6" s="1"/>
      <c r="AW6" s="1"/>
      <c r="AX6" s="1" t="s">
        <v>32</v>
      </c>
      <c r="AY6" s="1" t="s">
        <v>33</v>
      </c>
      <c r="AZ6" s="1"/>
      <c r="BA6" s="1"/>
      <c r="BB6" s="1"/>
      <c r="BC6" s="1"/>
      <c r="BD6" s="1"/>
      <c r="BE6" s="1"/>
      <c r="BF6" s="1"/>
      <c r="BG6" s="1"/>
    </row>
    <row r="7" spans="1:59" ht="15.5" x14ac:dyDescent="0.35">
      <c r="A7" s="1"/>
      <c r="B7" s="1"/>
      <c r="C7" s="1"/>
      <c r="D7" s="2" t="s">
        <v>4</v>
      </c>
      <c r="E7" s="27" t="s">
        <v>39</v>
      </c>
      <c r="F7" s="27"/>
      <c r="G7" s="2">
        <v>0.25</v>
      </c>
      <c r="H7" s="2" t="s">
        <v>55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ht="15.5" x14ac:dyDescent="0.35">
      <c r="A8" s="1"/>
      <c r="B8" s="1"/>
      <c r="C8" s="1"/>
      <c r="D8" s="2" t="s">
        <v>5</v>
      </c>
      <c r="E8" s="27" t="s">
        <v>41</v>
      </c>
      <c r="F8" s="27"/>
      <c r="G8" s="2">
        <v>0.15</v>
      </c>
      <c r="H8" s="2" t="s">
        <v>56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O8" s="3" t="s">
        <v>10</v>
      </c>
      <c r="AP8" s="3" t="s">
        <v>11</v>
      </c>
      <c r="AQ8" s="3" t="s">
        <v>12</v>
      </c>
      <c r="AR8" s="3" t="s">
        <v>13</v>
      </c>
      <c r="AS8" s="3" t="s">
        <v>37</v>
      </c>
      <c r="AT8" s="3" t="s">
        <v>38</v>
      </c>
      <c r="AU8" s="3" t="s">
        <v>27</v>
      </c>
      <c r="AV8" s="1"/>
      <c r="AW8" s="1"/>
      <c r="AX8" s="3" t="s">
        <v>34</v>
      </c>
      <c r="AY8" s="3" t="s">
        <v>35</v>
      </c>
      <c r="AZ8" s="3" t="s">
        <v>36</v>
      </c>
      <c r="BA8" s="1"/>
      <c r="BB8" s="1"/>
      <c r="BC8" s="1"/>
      <c r="BD8" s="1"/>
      <c r="BE8" s="1"/>
      <c r="BF8" s="1"/>
      <c r="BG8" s="1"/>
    </row>
    <row r="9" spans="1:59" ht="15.5" x14ac:dyDescent="0.35">
      <c r="A9" s="1"/>
      <c r="B9" s="1"/>
      <c r="C9" s="1"/>
      <c r="D9" s="2" t="s">
        <v>6</v>
      </c>
      <c r="E9" s="27" t="s">
        <v>40</v>
      </c>
      <c r="F9" s="27"/>
      <c r="G9" s="2">
        <v>0.2</v>
      </c>
      <c r="H9" s="2" t="s">
        <v>56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O9" s="3" t="s">
        <v>11</v>
      </c>
      <c r="AP9" s="32"/>
      <c r="AQ9" s="32">
        <f>AJ12</f>
        <v>0.42857142857142855</v>
      </c>
      <c r="AR9" s="32">
        <f>AJ14</f>
        <v>0.2857142857142857</v>
      </c>
      <c r="AS9" s="32">
        <f>AJ16</f>
        <v>0.2857142857142857</v>
      </c>
      <c r="AT9" s="32">
        <f>AJ18</f>
        <v>0.14285714285714285</v>
      </c>
      <c r="AU9" s="32">
        <f>SUM(AP9:AT9)</f>
        <v>1.1428571428571428</v>
      </c>
      <c r="AV9" s="1"/>
      <c r="AW9" s="1"/>
      <c r="AX9" s="3" t="s">
        <v>11</v>
      </c>
      <c r="AY9" s="2">
        <f>AV18</f>
        <v>-0.17857142857142855</v>
      </c>
      <c r="AZ9" s="2">
        <v>4</v>
      </c>
      <c r="BA9" s="1"/>
      <c r="BB9" s="1"/>
      <c r="BC9" s="1"/>
      <c r="BD9" s="1"/>
      <c r="BE9" s="1"/>
      <c r="BF9" s="1"/>
      <c r="BG9" s="1"/>
    </row>
    <row r="10" spans="1:59" ht="15.5" x14ac:dyDescent="0.35">
      <c r="A10" s="1"/>
      <c r="B10" s="1"/>
      <c r="C10" s="1"/>
      <c r="D10" s="2" t="s">
        <v>7</v>
      </c>
      <c r="E10" s="27" t="s">
        <v>44</v>
      </c>
      <c r="F10" s="27"/>
      <c r="G10" s="2">
        <v>0.15</v>
      </c>
      <c r="H10" s="2" t="s">
        <v>56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O10" s="3" t="s">
        <v>12</v>
      </c>
      <c r="AP10" s="32">
        <f>AJ20</f>
        <v>0.2857142857142857</v>
      </c>
      <c r="AQ10" s="32"/>
      <c r="AR10" s="32">
        <f>AJ22</f>
        <v>0</v>
      </c>
      <c r="AS10" s="32">
        <f>AJ24</f>
        <v>0.42857142857142855</v>
      </c>
      <c r="AT10" s="32">
        <f>AJ26</f>
        <v>0.14285714285714285</v>
      </c>
      <c r="AU10" s="32">
        <f>SUM(AP10:AT10)</f>
        <v>0.85714285714285698</v>
      </c>
      <c r="AV10" s="1"/>
      <c r="AW10" s="1"/>
      <c r="AX10" s="3" t="s">
        <v>12</v>
      </c>
      <c r="AY10" s="2">
        <f>AV19</f>
        <v>-0.35714285714285715</v>
      </c>
      <c r="AZ10" s="2">
        <v>5</v>
      </c>
      <c r="BA10" s="1"/>
      <c r="BB10" s="1"/>
      <c r="BC10" s="1"/>
      <c r="BD10" s="1"/>
      <c r="BE10" s="1"/>
      <c r="BF10" s="1"/>
      <c r="BG10" s="1"/>
    </row>
    <row r="11" spans="1:59" ht="15.5" x14ac:dyDescent="0.35">
      <c r="A11" s="1"/>
      <c r="B11" s="1"/>
      <c r="C11" s="1"/>
      <c r="D11" s="2" t="s">
        <v>8</v>
      </c>
      <c r="E11" s="27" t="s">
        <v>45</v>
      </c>
      <c r="F11" s="27"/>
      <c r="G11" s="2">
        <v>0.1</v>
      </c>
      <c r="H11" s="2" t="s">
        <v>56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O11" s="3" t="s">
        <v>13</v>
      </c>
      <c r="AP11" s="32">
        <f>AJ28</f>
        <v>0.42857142857142855</v>
      </c>
      <c r="AQ11" s="32">
        <f>AJ30</f>
        <v>0.71428571428571419</v>
      </c>
      <c r="AR11" s="32"/>
      <c r="AS11" s="32">
        <f>AJ32</f>
        <v>0.42857142857142855</v>
      </c>
      <c r="AT11" s="32">
        <f>AJ34</f>
        <v>0.14285714285714285</v>
      </c>
      <c r="AU11" s="32">
        <f>SUM(AP11:AT11)</f>
        <v>1.7142857142857142</v>
      </c>
      <c r="AV11" s="1"/>
      <c r="AW11" s="1"/>
      <c r="AX11" s="3" t="s">
        <v>13</v>
      </c>
      <c r="AY11" s="2">
        <f>AV20</f>
        <v>7.1428571428571452E-2</v>
      </c>
      <c r="AZ11" s="2">
        <v>3</v>
      </c>
      <c r="BA11" s="1"/>
      <c r="BB11" s="1"/>
      <c r="BC11" s="1"/>
      <c r="BD11" s="1"/>
      <c r="BE11" s="1"/>
      <c r="BF11" s="1"/>
      <c r="BG11" s="1"/>
    </row>
    <row r="12" spans="1:59" ht="15.5" x14ac:dyDescent="0.35">
      <c r="A12" s="1"/>
      <c r="B12" s="1"/>
      <c r="C12" s="1"/>
      <c r="D12" s="5" t="s">
        <v>42</v>
      </c>
      <c r="E12" s="26" t="s">
        <v>46</v>
      </c>
      <c r="F12" s="26"/>
      <c r="G12" s="6">
        <v>0.1</v>
      </c>
      <c r="H12" s="2" t="s">
        <v>56</v>
      </c>
      <c r="I12" s="1"/>
      <c r="J12" s="1"/>
      <c r="K12" s="1"/>
      <c r="L12" s="1"/>
      <c r="M12" s="1"/>
      <c r="N12" s="21" t="s">
        <v>57</v>
      </c>
      <c r="O12" s="21"/>
      <c r="P12" s="1"/>
      <c r="Q12" s="21" t="s">
        <v>76</v>
      </c>
      <c r="R12" s="21"/>
      <c r="S12" s="10"/>
      <c r="T12" s="21" t="s">
        <v>22</v>
      </c>
      <c r="U12" s="21"/>
      <c r="V12" s="23" t="s">
        <v>10</v>
      </c>
      <c r="W12" s="25" t="s">
        <v>3</v>
      </c>
      <c r="X12" s="25"/>
      <c r="Y12" s="25"/>
      <c r="Z12" s="25"/>
      <c r="AA12" s="25"/>
      <c r="AB12" s="25"/>
      <c r="AC12" s="25"/>
      <c r="AD12" s="1"/>
      <c r="AE12" s="1"/>
      <c r="AF12" s="1"/>
      <c r="AG12" s="1"/>
      <c r="AH12" s="1"/>
      <c r="AI12" s="4"/>
      <c r="AJ12" s="1">
        <f>(1/7)*SUM(W38:AC38)</f>
        <v>0.42857142857142855</v>
      </c>
      <c r="AK12" s="1"/>
      <c r="AL12" s="1"/>
      <c r="AO12" s="3" t="s">
        <v>37</v>
      </c>
      <c r="AP12" s="32">
        <f>AJ36</f>
        <v>0.5714285714285714</v>
      </c>
      <c r="AQ12" s="32">
        <f>AJ38</f>
        <v>0.5714285714285714</v>
      </c>
      <c r="AR12" s="32">
        <f>AJ40</f>
        <v>0.5714285714285714</v>
      </c>
      <c r="AS12" s="32"/>
      <c r="AT12" s="32">
        <f>AJ42</f>
        <v>0.42857142857142855</v>
      </c>
      <c r="AU12" s="32">
        <f>SUM(AP12:AT12)</f>
        <v>2.1428571428571428</v>
      </c>
      <c r="AV12" s="1"/>
      <c r="AW12" s="1"/>
      <c r="AX12" s="3" t="s">
        <v>37</v>
      </c>
      <c r="AY12" s="2">
        <f>AV21</f>
        <v>0.10714285714285715</v>
      </c>
      <c r="AZ12" s="2">
        <v>2</v>
      </c>
      <c r="BA12" s="1"/>
      <c r="BB12" s="1"/>
      <c r="BC12" s="1"/>
      <c r="BD12" s="1"/>
      <c r="BE12" s="1"/>
      <c r="BF12" s="1"/>
      <c r="BG12" s="1"/>
    </row>
    <row r="13" spans="1:59" ht="15.5" x14ac:dyDescent="0.35">
      <c r="A13" s="1"/>
      <c r="B13" s="1"/>
      <c r="D13" s="6" t="s">
        <v>43</v>
      </c>
      <c r="E13" s="26" t="s">
        <v>47</v>
      </c>
      <c r="F13" s="26"/>
      <c r="G13" s="6">
        <v>0.05</v>
      </c>
      <c r="H13" s="2" t="s">
        <v>55</v>
      </c>
      <c r="L13" s="1"/>
      <c r="M13" s="1"/>
      <c r="N13" s="1"/>
      <c r="O13" s="15">
        <f>E25-E24</f>
        <v>1</v>
      </c>
      <c r="P13" s="9"/>
      <c r="Q13" s="1"/>
      <c r="R13" s="15">
        <f>I24-I25</f>
        <v>0</v>
      </c>
      <c r="S13" s="15"/>
      <c r="T13" s="15"/>
      <c r="U13" s="15"/>
      <c r="V13" s="24"/>
      <c r="W13" s="3" t="s">
        <v>4</v>
      </c>
      <c r="X13" s="3" t="s">
        <v>5</v>
      </c>
      <c r="Y13" s="3" t="s">
        <v>6</v>
      </c>
      <c r="Z13" s="3" t="s">
        <v>7</v>
      </c>
      <c r="AA13" s="3" t="s">
        <v>8</v>
      </c>
      <c r="AB13" s="3" t="s">
        <v>42</v>
      </c>
      <c r="AC13" s="3" t="s">
        <v>43</v>
      </c>
      <c r="AD13" s="1"/>
      <c r="AE13" s="1"/>
      <c r="AF13" s="1"/>
      <c r="AG13" s="1"/>
      <c r="AH13" s="1"/>
      <c r="AI13" s="4"/>
      <c r="AJ13" s="1"/>
      <c r="AK13" s="1"/>
      <c r="AL13" s="1"/>
      <c r="AO13" s="3" t="s">
        <v>38</v>
      </c>
      <c r="AP13" s="32">
        <f>AJ44</f>
        <v>0.5714285714285714</v>
      </c>
      <c r="AQ13" s="32">
        <f>AJ46</f>
        <v>0.5714285714285714</v>
      </c>
      <c r="AR13" s="32">
        <f>AJ48</f>
        <v>0.5714285714285714</v>
      </c>
      <c r="AS13" s="32">
        <f>AJ50</f>
        <v>0.5714285714285714</v>
      </c>
      <c r="AT13" s="32"/>
      <c r="AU13" s="32">
        <f>SUM(AP13:AT13)</f>
        <v>2.2857142857142856</v>
      </c>
      <c r="AV13" s="1"/>
      <c r="AW13" s="1"/>
      <c r="AX13" s="3" t="s">
        <v>38</v>
      </c>
      <c r="AY13" s="2">
        <f>AV22</f>
        <v>0.3571428571428571</v>
      </c>
      <c r="AZ13" s="29">
        <v>1</v>
      </c>
      <c r="BF13" s="1"/>
      <c r="BG13" s="1"/>
    </row>
    <row r="14" spans="1:59" ht="15.5" x14ac:dyDescent="0.35">
      <c r="A14" s="1"/>
      <c r="B14" s="1"/>
      <c r="L14" s="1"/>
      <c r="M14" s="1"/>
      <c r="N14" s="1"/>
      <c r="O14" s="4">
        <f>E26-E24</f>
        <v>-0.5</v>
      </c>
      <c r="P14" s="1"/>
      <c r="Q14" s="1"/>
      <c r="R14" s="4">
        <f>I24-I26</f>
        <v>0</v>
      </c>
      <c r="S14" s="4"/>
      <c r="T14" s="4"/>
      <c r="U14" s="4"/>
      <c r="V14" s="3" t="s">
        <v>16</v>
      </c>
      <c r="W14" s="2">
        <f t="shared" ref="W14:W33" si="0">O13</f>
        <v>1</v>
      </c>
      <c r="X14" s="2">
        <f t="shared" ref="X14:X33" si="1">O35</f>
        <v>0</v>
      </c>
      <c r="Y14" s="8">
        <f t="shared" ref="Y14:Y33" si="2">O57</f>
        <v>10</v>
      </c>
      <c r="Z14" s="8">
        <f t="shared" ref="Z14:Z33" si="3">O79</f>
        <v>-1</v>
      </c>
      <c r="AA14" s="2">
        <f t="shared" ref="AA14:AA33" si="4">R13</f>
        <v>0</v>
      </c>
      <c r="AB14" s="8">
        <f t="shared" ref="AB14:AB33" si="5">R35</f>
        <v>70</v>
      </c>
      <c r="AC14" s="19">
        <f t="shared" ref="AC14:AC33" si="6">R57</f>
        <v>-5.0000000000000044E-2</v>
      </c>
      <c r="AD14" s="1"/>
      <c r="AE14" s="1"/>
      <c r="AF14" s="1"/>
      <c r="AG14" s="1"/>
      <c r="AH14" s="1"/>
      <c r="AI14" s="4"/>
      <c r="AJ14" s="1">
        <f>(1/7)*SUM(W39:AC39)</f>
        <v>0.2857142857142857</v>
      </c>
      <c r="AK14" s="1"/>
      <c r="AL14" s="1"/>
      <c r="AO14" s="3" t="s">
        <v>28</v>
      </c>
      <c r="AP14" s="32">
        <f>SUM(AP9:AP13)</f>
        <v>1.857142857142857</v>
      </c>
      <c r="AQ14" s="32">
        <f>SUM(AQ9:AQ13)</f>
        <v>2.2857142857142856</v>
      </c>
      <c r="AR14" s="32">
        <f>SUM(AR9:AR13)</f>
        <v>1.4285714285714284</v>
      </c>
      <c r="AS14" s="32">
        <f>SUM(AS9:AS13)</f>
        <v>1.7142857142857142</v>
      </c>
      <c r="AT14" s="32">
        <f>SUM(AT9:AT13)</f>
        <v>0.8571428571428571</v>
      </c>
      <c r="AU14" s="32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15.5" x14ac:dyDescent="0.35">
      <c r="A15" s="1"/>
      <c r="B15" s="1"/>
      <c r="C15" s="1" t="s">
        <v>9</v>
      </c>
      <c r="D15" s="3" t="s">
        <v>2</v>
      </c>
      <c r="E15" s="25" t="s">
        <v>10</v>
      </c>
      <c r="F15" s="25"/>
      <c r="G15" s="25"/>
      <c r="H15" s="1"/>
      <c r="I15" s="1"/>
      <c r="J15" s="1"/>
      <c r="K15" s="1"/>
      <c r="L15" s="1"/>
      <c r="M15" s="1"/>
      <c r="N15" s="1"/>
      <c r="O15" s="4">
        <f>E27-E24</f>
        <v>7.5</v>
      </c>
      <c r="P15" s="1"/>
      <c r="Q15" s="1"/>
      <c r="R15" s="4">
        <f>I24-I27</f>
        <v>-488</v>
      </c>
      <c r="S15" s="4"/>
      <c r="T15" s="4"/>
      <c r="U15" s="4"/>
      <c r="V15" s="3" t="s">
        <v>17</v>
      </c>
      <c r="W15" s="2">
        <f t="shared" si="0"/>
        <v>-0.5</v>
      </c>
      <c r="X15" s="2">
        <f t="shared" si="1"/>
        <v>0</v>
      </c>
      <c r="Y15" s="8">
        <f t="shared" si="2"/>
        <v>5</v>
      </c>
      <c r="Z15" s="8">
        <f t="shared" si="3"/>
        <v>-1.5</v>
      </c>
      <c r="AA15" s="2">
        <f t="shared" si="4"/>
        <v>0</v>
      </c>
      <c r="AB15" s="8">
        <f t="shared" si="5"/>
        <v>40</v>
      </c>
      <c r="AC15" s="19">
        <f t="shared" si="6"/>
        <v>-0.19999999999999996</v>
      </c>
      <c r="AD15" s="1"/>
      <c r="AE15" s="1"/>
      <c r="AF15" s="1"/>
      <c r="AG15" s="1"/>
      <c r="AH15" s="1"/>
      <c r="AI15" s="4"/>
      <c r="AJ15" s="1"/>
      <c r="AK15" s="1"/>
      <c r="AL15" s="1"/>
      <c r="AM15" s="1"/>
      <c r="AN15" s="1"/>
      <c r="AW15" s="1"/>
      <c r="AX15" s="22" t="s">
        <v>85</v>
      </c>
      <c r="AY15" s="22"/>
      <c r="AZ15" s="22"/>
      <c r="BA15" s="22"/>
      <c r="BB15" s="22"/>
      <c r="BC15" s="22"/>
      <c r="BD15" s="22"/>
      <c r="BE15" s="22"/>
      <c r="BF15" s="1"/>
      <c r="BG15" s="1"/>
    </row>
    <row r="16" spans="1:59" ht="15.5" x14ac:dyDescent="0.35">
      <c r="A16" s="1"/>
      <c r="B16" s="1"/>
      <c r="C16" s="1"/>
      <c r="D16" s="2" t="s">
        <v>11</v>
      </c>
      <c r="E16" s="28" t="s">
        <v>48</v>
      </c>
      <c r="F16" s="28"/>
      <c r="G16" s="28"/>
      <c r="L16" s="1"/>
      <c r="M16" s="1"/>
      <c r="N16" s="1"/>
      <c r="O16" s="4">
        <f>E28-E24</f>
        <v>6</v>
      </c>
      <c r="P16" s="1"/>
      <c r="Q16" s="1"/>
      <c r="R16" s="4">
        <f>I24-I28</f>
        <v>0</v>
      </c>
      <c r="S16" s="4"/>
      <c r="T16" s="4"/>
      <c r="U16" s="4"/>
      <c r="V16" s="3" t="s">
        <v>60</v>
      </c>
      <c r="W16" s="2">
        <f t="shared" si="0"/>
        <v>7.5</v>
      </c>
      <c r="X16" s="2">
        <f t="shared" si="1"/>
        <v>-16</v>
      </c>
      <c r="Y16" s="8">
        <f t="shared" si="2"/>
        <v>-490</v>
      </c>
      <c r="Z16" s="8">
        <f t="shared" si="3"/>
        <v>0</v>
      </c>
      <c r="AA16" s="2">
        <f t="shared" si="4"/>
        <v>-488</v>
      </c>
      <c r="AB16" s="8">
        <f t="shared" si="5"/>
        <v>-9050</v>
      </c>
      <c r="AC16" s="19">
        <f t="shared" si="6"/>
        <v>0.19999999999999996</v>
      </c>
      <c r="AD16" s="1"/>
      <c r="AE16" s="1"/>
      <c r="AF16" s="1"/>
      <c r="AG16" s="1"/>
      <c r="AH16" s="1"/>
      <c r="AI16" s="4"/>
      <c r="AJ16" s="1">
        <f>(1/7)*SUM(W40:AC40)</f>
        <v>0.2857142857142857</v>
      </c>
      <c r="AK16" s="1"/>
      <c r="AL16" s="1"/>
      <c r="AM16" s="1"/>
      <c r="AN16" s="1"/>
      <c r="AO16" s="1" t="s">
        <v>29</v>
      </c>
      <c r="AP16" s="1"/>
      <c r="AQ16" s="1"/>
      <c r="AR16" s="1"/>
      <c r="AS16" s="1"/>
      <c r="AT16" s="1" t="s">
        <v>31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ht="15.5" x14ac:dyDescent="0.35">
      <c r="A17" s="1"/>
      <c r="B17" s="1"/>
      <c r="C17" s="1"/>
      <c r="D17" s="2" t="s">
        <v>12</v>
      </c>
      <c r="E17" s="28" t="s">
        <v>49</v>
      </c>
      <c r="F17" s="28"/>
      <c r="G17" s="28"/>
      <c r="L17" s="1"/>
      <c r="M17" s="1"/>
      <c r="N17" s="1"/>
      <c r="O17" s="15">
        <f>E24-E25</f>
        <v>-1</v>
      </c>
      <c r="P17" s="9"/>
      <c r="Q17" s="1"/>
      <c r="R17" s="15">
        <f>I25-I24</f>
        <v>0</v>
      </c>
      <c r="S17" s="15"/>
      <c r="T17" s="15"/>
      <c r="U17" s="15"/>
      <c r="V17" s="3" t="s">
        <v>61</v>
      </c>
      <c r="W17" s="2">
        <f t="shared" si="0"/>
        <v>6</v>
      </c>
      <c r="X17" s="2">
        <f t="shared" si="1"/>
        <v>0</v>
      </c>
      <c r="Y17" s="8">
        <f t="shared" si="2"/>
        <v>-1280</v>
      </c>
      <c r="Z17" s="8">
        <f t="shared" si="3"/>
        <v>-7</v>
      </c>
      <c r="AA17" s="2">
        <f t="shared" si="4"/>
        <v>0</v>
      </c>
      <c r="AB17" s="8">
        <f t="shared" si="5"/>
        <v>-6300</v>
      </c>
      <c r="AC17" s="19">
        <f t="shared" si="6"/>
        <v>-0.20999999999999996</v>
      </c>
      <c r="AD17" s="1"/>
      <c r="AE17" s="1"/>
      <c r="AF17" s="1"/>
      <c r="AG17" s="1"/>
      <c r="AH17" s="1"/>
      <c r="AI17" s="4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ht="15.5" x14ac:dyDescent="0.35">
      <c r="A18" s="1"/>
      <c r="B18" s="1"/>
      <c r="C18" s="1"/>
      <c r="D18" s="7" t="s">
        <v>13</v>
      </c>
      <c r="E18" s="28" t="s">
        <v>50</v>
      </c>
      <c r="F18" s="28"/>
      <c r="G18" s="28"/>
      <c r="L18" s="1"/>
      <c r="M18" s="1"/>
      <c r="N18" s="1"/>
      <c r="O18" s="4">
        <f>E26-E25</f>
        <v>-1.5</v>
      </c>
      <c r="P18" s="1"/>
      <c r="Q18" s="1"/>
      <c r="R18" s="4">
        <f>I25-I26</f>
        <v>0</v>
      </c>
      <c r="S18" s="4"/>
      <c r="T18" s="4"/>
      <c r="U18" s="4"/>
      <c r="V18" s="3" t="s">
        <v>18</v>
      </c>
      <c r="W18" s="2">
        <f t="shared" si="0"/>
        <v>-1</v>
      </c>
      <c r="X18" s="2">
        <f t="shared" si="1"/>
        <v>0</v>
      </c>
      <c r="Y18" s="8">
        <f t="shared" si="2"/>
        <v>-10</v>
      </c>
      <c r="Z18" s="8">
        <f t="shared" si="3"/>
        <v>1</v>
      </c>
      <c r="AA18" s="2">
        <f t="shared" si="4"/>
        <v>0</v>
      </c>
      <c r="AB18" s="8">
        <f t="shared" si="5"/>
        <v>-70</v>
      </c>
      <c r="AC18" s="19">
        <f t="shared" si="6"/>
        <v>5.0000000000000044E-2</v>
      </c>
      <c r="AD18" s="1"/>
      <c r="AE18" s="1"/>
      <c r="AF18" s="1"/>
      <c r="AG18" s="1"/>
      <c r="AH18" s="1"/>
      <c r="AI18" s="4"/>
      <c r="AJ18" s="1">
        <f>(1/7)*SUM(W41:AC41)</f>
        <v>0.14285714285714285</v>
      </c>
      <c r="AK18" s="1"/>
      <c r="AL18" s="1"/>
      <c r="AM18" s="1"/>
      <c r="AN18" s="1"/>
      <c r="AO18" s="1"/>
      <c r="AP18" s="33">
        <f>(1/(5-1))*AU9</f>
        <v>0.2857142857142857</v>
      </c>
      <c r="AQ18" s="4"/>
      <c r="AR18" s="1"/>
      <c r="AS18" s="1"/>
      <c r="AT18" s="1"/>
      <c r="AU18" s="4" t="s">
        <v>80</v>
      </c>
      <c r="AV18" s="35">
        <f>AP18-AP30</f>
        <v>-0.17857142857142855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ht="15.5" x14ac:dyDescent="0.35">
      <c r="A19" s="1"/>
      <c r="B19" s="1"/>
      <c r="C19" s="1"/>
      <c r="D19" s="2" t="s">
        <v>37</v>
      </c>
      <c r="E19" s="28" t="s">
        <v>51</v>
      </c>
      <c r="F19" s="28"/>
      <c r="G19" s="28"/>
      <c r="L19" s="1"/>
      <c r="M19" s="1"/>
      <c r="N19" s="1"/>
      <c r="O19" s="4">
        <f>E27-E25</f>
        <v>6.5</v>
      </c>
      <c r="P19" s="1"/>
      <c r="Q19" s="1"/>
      <c r="R19" s="4">
        <f>I25-I27</f>
        <v>-488</v>
      </c>
      <c r="S19" s="4"/>
      <c r="T19" s="4"/>
      <c r="U19" s="4"/>
      <c r="V19" s="3" t="s">
        <v>19</v>
      </c>
      <c r="W19" s="2">
        <f t="shared" si="0"/>
        <v>-1.5</v>
      </c>
      <c r="X19" s="2">
        <f t="shared" si="1"/>
        <v>0</v>
      </c>
      <c r="Y19" s="8">
        <f t="shared" si="2"/>
        <v>-5</v>
      </c>
      <c r="Z19" s="8">
        <f t="shared" si="3"/>
        <v>-0.5</v>
      </c>
      <c r="AA19" s="2">
        <f t="shared" si="4"/>
        <v>0</v>
      </c>
      <c r="AB19" s="8">
        <f t="shared" si="5"/>
        <v>-30</v>
      </c>
      <c r="AC19" s="19">
        <f t="shared" si="6"/>
        <v>-0.14999999999999991</v>
      </c>
      <c r="AD19" s="1"/>
      <c r="AE19" s="1"/>
      <c r="AF19" s="1"/>
      <c r="AG19" s="1"/>
      <c r="AH19" s="1"/>
      <c r="AI19" s="4"/>
      <c r="AJ19" s="1"/>
      <c r="AK19" s="1"/>
      <c r="AL19" s="1"/>
      <c r="AM19" s="1"/>
      <c r="AN19" s="1"/>
      <c r="AO19" s="1"/>
      <c r="AP19" s="33"/>
      <c r="AQ19" s="4"/>
      <c r="AR19" s="1"/>
      <c r="AS19" s="1"/>
      <c r="AT19" s="1"/>
      <c r="AU19" s="4" t="s">
        <v>81</v>
      </c>
      <c r="AV19" s="35">
        <f>AP20-AP32</f>
        <v>-0.35714285714285715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ht="15.5" x14ac:dyDescent="0.35">
      <c r="A20" s="1"/>
      <c r="B20" s="1"/>
      <c r="D20" s="2" t="s">
        <v>38</v>
      </c>
      <c r="E20" s="28" t="s">
        <v>52</v>
      </c>
      <c r="F20" s="28"/>
      <c r="G20" s="28"/>
      <c r="L20" s="1"/>
      <c r="N20" s="1"/>
      <c r="O20" s="4">
        <f>E28-E25</f>
        <v>5</v>
      </c>
      <c r="P20" s="1"/>
      <c r="Q20" s="1"/>
      <c r="R20" s="4">
        <f>I25-I28</f>
        <v>0</v>
      </c>
      <c r="S20" s="4"/>
      <c r="T20" s="4"/>
      <c r="U20" s="4"/>
      <c r="V20" s="3" t="s">
        <v>62</v>
      </c>
      <c r="W20" s="2">
        <f t="shared" si="0"/>
        <v>6.5</v>
      </c>
      <c r="X20" s="2">
        <f t="shared" si="1"/>
        <v>-16</v>
      </c>
      <c r="Y20" s="8">
        <f t="shared" si="2"/>
        <v>-500</v>
      </c>
      <c r="Z20" s="8">
        <f t="shared" si="3"/>
        <v>1</v>
      </c>
      <c r="AA20" s="2">
        <f t="shared" si="4"/>
        <v>-488</v>
      </c>
      <c r="AB20" s="8">
        <f t="shared" si="5"/>
        <v>-9120</v>
      </c>
      <c r="AC20" s="19">
        <f t="shared" si="6"/>
        <v>0.25</v>
      </c>
      <c r="AD20" s="1"/>
      <c r="AE20" s="1"/>
      <c r="AF20" s="1"/>
      <c r="AG20" s="1"/>
      <c r="AH20" s="1"/>
      <c r="AI20" s="4"/>
      <c r="AJ20" s="1">
        <f>(1/7)*SUM(W42:AC42)</f>
        <v>0.2857142857142857</v>
      </c>
      <c r="AK20" s="1"/>
      <c r="AL20" s="1"/>
      <c r="AO20" s="1"/>
      <c r="AP20" s="33">
        <f>(1/(5-1))*AU10</f>
        <v>0.21428571428571425</v>
      </c>
      <c r="AQ20" s="4"/>
      <c r="AR20" s="1"/>
      <c r="AS20" s="1"/>
      <c r="AT20" s="1"/>
      <c r="AU20" s="4" t="s">
        <v>82</v>
      </c>
      <c r="AV20" s="35">
        <f>AP22-AP34</f>
        <v>7.1428571428571452E-2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ht="15.5" x14ac:dyDescent="0.35">
      <c r="A21" s="1"/>
      <c r="B21" s="1"/>
      <c r="H21" s="1"/>
      <c r="I21" s="1"/>
      <c r="J21" s="1"/>
      <c r="K21" s="1"/>
      <c r="L21" s="1"/>
      <c r="N21" s="1"/>
      <c r="O21" s="15">
        <f>E24-E26</f>
        <v>0.5</v>
      </c>
      <c r="P21" s="9"/>
      <c r="Q21" s="1"/>
      <c r="R21" s="15">
        <f>I26-I24</f>
        <v>0</v>
      </c>
      <c r="S21" s="15"/>
      <c r="T21" s="15"/>
      <c r="U21" s="15"/>
      <c r="V21" s="3" t="s">
        <v>63</v>
      </c>
      <c r="W21" s="2">
        <f t="shared" si="0"/>
        <v>5</v>
      </c>
      <c r="X21" s="2">
        <f t="shared" si="1"/>
        <v>0</v>
      </c>
      <c r="Y21" s="8">
        <f t="shared" si="2"/>
        <v>-1290</v>
      </c>
      <c r="Z21" s="8">
        <f t="shared" si="3"/>
        <v>-6</v>
      </c>
      <c r="AA21" s="2">
        <f t="shared" si="4"/>
        <v>0</v>
      </c>
      <c r="AB21" s="8">
        <f t="shared" si="5"/>
        <v>-6370</v>
      </c>
      <c r="AC21" s="19">
        <f t="shared" si="6"/>
        <v>-0.15999999999999992</v>
      </c>
      <c r="AD21" s="1"/>
      <c r="AE21" s="1"/>
      <c r="AF21" s="1"/>
      <c r="AG21" s="1"/>
      <c r="AH21" s="1"/>
      <c r="AI21" s="4"/>
      <c r="AJ21" s="1"/>
      <c r="AK21" s="1"/>
      <c r="AL21" s="1"/>
      <c r="AO21" s="1"/>
      <c r="AP21" s="33"/>
      <c r="AQ21" s="4"/>
      <c r="AR21" s="1"/>
      <c r="AS21" s="1"/>
      <c r="AT21" s="1"/>
      <c r="AU21" s="4" t="s">
        <v>83</v>
      </c>
      <c r="AV21" s="35">
        <f>AP24-AP36</f>
        <v>0.10714285714285715</v>
      </c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ht="15.5" x14ac:dyDescent="0.35">
      <c r="A22" s="1"/>
      <c r="B22" s="1"/>
      <c r="C22" s="1" t="s">
        <v>53</v>
      </c>
      <c r="D22" s="23" t="s">
        <v>10</v>
      </c>
      <c r="E22" s="3" t="s">
        <v>3</v>
      </c>
      <c r="F22" s="3"/>
      <c r="G22" s="3"/>
      <c r="H22" s="3"/>
      <c r="I22" s="3"/>
      <c r="J22" s="3"/>
      <c r="K22" s="3"/>
      <c r="L22" s="1"/>
      <c r="N22" s="1"/>
      <c r="O22" s="4">
        <f>E25-E26</f>
        <v>1.5</v>
      </c>
      <c r="P22" s="1"/>
      <c r="Q22" s="1"/>
      <c r="R22" s="4">
        <f>I26-I25</f>
        <v>0</v>
      </c>
      <c r="S22" s="4"/>
      <c r="T22" s="4"/>
      <c r="U22" s="4"/>
      <c r="V22" s="3" t="s">
        <v>20</v>
      </c>
      <c r="W22" s="2">
        <f t="shared" si="0"/>
        <v>0.5</v>
      </c>
      <c r="X22" s="2">
        <f t="shared" si="1"/>
        <v>0</v>
      </c>
      <c r="Y22" s="8">
        <f t="shared" si="2"/>
        <v>-5</v>
      </c>
      <c r="Z22" s="8">
        <f t="shared" si="3"/>
        <v>1.5</v>
      </c>
      <c r="AA22" s="2">
        <f t="shared" si="4"/>
        <v>0</v>
      </c>
      <c r="AB22" s="8">
        <f t="shared" si="5"/>
        <v>-40</v>
      </c>
      <c r="AC22" s="19">
        <f t="shared" si="6"/>
        <v>0.19999999999999996</v>
      </c>
      <c r="AD22" s="1"/>
      <c r="AE22" s="1"/>
      <c r="AF22" s="1"/>
      <c r="AG22" s="1"/>
      <c r="AH22" s="1"/>
      <c r="AI22" s="4"/>
      <c r="AJ22" s="1">
        <f>(1/7)*SUM(W43:AC43)</f>
        <v>0</v>
      </c>
      <c r="AK22" s="1"/>
      <c r="AL22" s="1"/>
      <c r="AO22" s="1"/>
      <c r="AP22" s="33">
        <f>(1/(5-1))*AU11</f>
        <v>0.42857142857142855</v>
      </c>
      <c r="AQ22" s="4"/>
      <c r="AT22" s="1"/>
      <c r="AU22" s="4" t="s">
        <v>84</v>
      </c>
      <c r="AV22" s="35">
        <f>AP26-AP38</f>
        <v>0.3571428571428571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ht="15.5" x14ac:dyDescent="0.35">
      <c r="A23" s="1"/>
      <c r="B23" s="1"/>
      <c r="C23" s="1"/>
      <c r="D23" s="24"/>
      <c r="E23" s="3" t="s">
        <v>4</v>
      </c>
      <c r="F23" s="3" t="s">
        <v>5</v>
      </c>
      <c r="G23" s="3" t="s">
        <v>6</v>
      </c>
      <c r="H23" s="3" t="s">
        <v>7</v>
      </c>
      <c r="I23" s="3" t="s">
        <v>8</v>
      </c>
      <c r="J23" s="3" t="s">
        <v>42</v>
      </c>
      <c r="K23" s="3" t="s">
        <v>43</v>
      </c>
      <c r="L23" s="1"/>
      <c r="N23" s="1"/>
      <c r="O23" s="4">
        <f>E27-E26</f>
        <v>8</v>
      </c>
      <c r="P23" s="1"/>
      <c r="Q23" s="1"/>
      <c r="R23" s="4">
        <f>I26-I27</f>
        <v>-488</v>
      </c>
      <c r="S23" s="4"/>
      <c r="T23" s="4"/>
      <c r="U23" s="4"/>
      <c r="V23" s="3" t="s">
        <v>21</v>
      </c>
      <c r="W23" s="2">
        <f t="shared" si="0"/>
        <v>1.5</v>
      </c>
      <c r="X23" s="2">
        <f t="shared" si="1"/>
        <v>0</v>
      </c>
      <c r="Y23" s="8">
        <f t="shared" si="2"/>
        <v>5</v>
      </c>
      <c r="Z23" s="8">
        <f t="shared" si="3"/>
        <v>0.5</v>
      </c>
      <c r="AA23" s="2">
        <f t="shared" si="4"/>
        <v>0</v>
      </c>
      <c r="AB23" s="8">
        <f t="shared" si="5"/>
        <v>30</v>
      </c>
      <c r="AC23" s="19">
        <f t="shared" si="6"/>
        <v>0.14999999999999991</v>
      </c>
      <c r="AD23" s="1"/>
      <c r="AE23" s="1"/>
      <c r="AF23" s="1"/>
      <c r="AG23" s="1"/>
      <c r="AH23" s="1"/>
      <c r="AI23" s="4"/>
      <c r="AJ23" s="1"/>
      <c r="AK23" s="1"/>
      <c r="AL23" s="1"/>
      <c r="AP23" s="34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ht="15.5" x14ac:dyDescent="0.35">
      <c r="A24" s="1"/>
      <c r="B24" s="1"/>
      <c r="C24" s="1"/>
      <c r="D24" s="3" t="s">
        <v>11</v>
      </c>
      <c r="E24" s="2">
        <v>11</v>
      </c>
      <c r="F24" s="2">
        <v>16</v>
      </c>
      <c r="G24" s="8">
        <v>1820</v>
      </c>
      <c r="H24" s="2">
        <v>8</v>
      </c>
      <c r="I24" s="2">
        <v>512</v>
      </c>
      <c r="J24" s="8">
        <v>2450</v>
      </c>
      <c r="K24" s="2">
        <v>1.45</v>
      </c>
      <c r="L24" s="1"/>
      <c r="N24" s="1"/>
      <c r="O24" s="4">
        <f>E28-E26</f>
        <v>6.5</v>
      </c>
      <c r="P24" s="1"/>
      <c r="Q24" s="1"/>
      <c r="R24" s="4">
        <f>I26-I28</f>
        <v>0</v>
      </c>
      <c r="S24" s="4"/>
      <c r="T24" s="4"/>
      <c r="U24" s="4"/>
      <c r="V24" s="3" t="s">
        <v>64</v>
      </c>
      <c r="W24" s="2">
        <f t="shared" si="0"/>
        <v>8</v>
      </c>
      <c r="X24" s="2">
        <f t="shared" si="1"/>
        <v>-16</v>
      </c>
      <c r="Y24" s="8">
        <f t="shared" si="2"/>
        <v>-495</v>
      </c>
      <c r="Z24" s="8">
        <f t="shared" si="3"/>
        <v>1.5</v>
      </c>
      <c r="AA24" s="2">
        <f t="shared" si="4"/>
        <v>-488</v>
      </c>
      <c r="AB24" s="8">
        <f t="shared" si="5"/>
        <v>-9090</v>
      </c>
      <c r="AC24" s="19">
        <f t="shared" si="6"/>
        <v>0.39999999999999991</v>
      </c>
      <c r="AD24" s="1"/>
      <c r="AE24" s="1"/>
      <c r="AF24" s="1"/>
      <c r="AG24" s="1"/>
      <c r="AH24" s="1"/>
      <c r="AI24" s="4"/>
      <c r="AJ24" s="1">
        <f>(1/7)*SUM(W44:AC44)</f>
        <v>0.42857142857142855</v>
      </c>
      <c r="AK24" s="1"/>
      <c r="AL24" s="1"/>
      <c r="AO24" s="1"/>
      <c r="AP24" s="33">
        <f>(1/(5-1))*AU12</f>
        <v>0.5357142857142857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ht="15.5" x14ac:dyDescent="0.35">
      <c r="A25" s="1"/>
      <c r="B25" s="1"/>
      <c r="C25" s="1"/>
      <c r="D25" s="3" t="s">
        <v>12</v>
      </c>
      <c r="E25" s="2">
        <v>12</v>
      </c>
      <c r="F25" s="2">
        <v>16</v>
      </c>
      <c r="G25" s="8">
        <v>1810</v>
      </c>
      <c r="H25" s="2">
        <v>9</v>
      </c>
      <c r="I25" s="2">
        <v>512</v>
      </c>
      <c r="J25" s="8">
        <v>2380</v>
      </c>
      <c r="K25" s="2">
        <v>1.4</v>
      </c>
      <c r="L25" s="1"/>
      <c r="N25" s="1"/>
      <c r="O25" s="15">
        <f>E24-E27</f>
        <v>-7.5</v>
      </c>
      <c r="P25" s="9"/>
      <c r="Q25" s="1"/>
      <c r="R25" s="15">
        <f>I27-I24</f>
        <v>488</v>
      </c>
      <c r="S25" s="15"/>
      <c r="T25" s="15"/>
      <c r="U25" s="15"/>
      <c r="V25" s="3" t="s">
        <v>65</v>
      </c>
      <c r="W25" s="2">
        <f t="shared" si="0"/>
        <v>6.5</v>
      </c>
      <c r="X25" s="2">
        <f t="shared" si="1"/>
        <v>0</v>
      </c>
      <c r="Y25" s="8">
        <f t="shared" si="2"/>
        <v>-1285</v>
      </c>
      <c r="Z25" s="8">
        <f t="shared" si="3"/>
        <v>-5.5</v>
      </c>
      <c r="AA25" s="2">
        <f t="shared" si="4"/>
        <v>0</v>
      </c>
      <c r="AB25" s="8">
        <f t="shared" si="5"/>
        <v>-6340</v>
      </c>
      <c r="AC25" s="19">
        <f t="shared" si="6"/>
        <v>-1.0000000000000009E-2</v>
      </c>
      <c r="AD25" s="1"/>
      <c r="AE25" s="1"/>
      <c r="AF25" s="1"/>
      <c r="AG25" s="1"/>
      <c r="AH25" s="1"/>
      <c r="AI25" s="4"/>
      <c r="AJ25" s="1"/>
      <c r="AK25" s="1"/>
      <c r="AL25" s="1"/>
      <c r="AP25" s="34"/>
      <c r="AQ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ht="15.5" x14ac:dyDescent="0.35">
      <c r="A26" s="1"/>
      <c r="B26" s="1"/>
      <c r="C26" s="1"/>
      <c r="D26" s="3" t="s">
        <v>13</v>
      </c>
      <c r="E26" s="2">
        <v>10.5</v>
      </c>
      <c r="F26" s="2">
        <v>16</v>
      </c>
      <c r="G26" s="8">
        <v>1815</v>
      </c>
      <c r="H26" s="2">
        <v>9.5</v>
      </c>
      <c r="I26" s="2">
        <v>512</v>
      </c>
      <c r="J26" s="8">
        <v>2410</v>
      </c>
      <c r="K26" s="2">
        <v>1.25</v>
      </c>
      <c r="L26" s="1"/>
      <c r="N26" s="1"/>
      <c r="O26" s="4">
        <f>E25-E27</f>
        <v>-6.5</v>
      </c>
      <c r="P26" s="1"/>
      <c r="Q26" s="1"/>
      <c r="R26" s="4">
        <f>I27-I25</f>
        <v>488</v>
      </c>
      <c r="S26" s="4"/>
      <c r="T26" s="4"/>
      <c r="U26" s="4"/>
      <c r="V26" s="3" t="s">
        <v>66</v>
      </c>
      <c r="W26" s="2">
        <f t="shared" si="0"/>
        <v>-7.5</v>
      </c>
      <c r="X26" s="2">
        <f t="shared" si="1"/>
        <v>16</v>
      </c>
      <c r="Y26" s="8">
        <f t="shared" si="2"/>
        <v>490</v>
      </c>
      <c r="Z26" s="8">
        <f t="shared" si="3"/>
        <v>0</v>
      </c>
      <c r="AA26" s="2">
        <f t="shared" si="4"/>
        <v>488</v>
      </c>
      <c r="AB26" s="8">
        <f t="shared" si="5"/>
        <v>9050</v>
      </c>
      <c r="AC26" s="19">
        <f t="shared" si="6"/>
        <v>-0.19999999999999996</v>
      </c>
      <c r="AD26" s="1"/>
      <c r="AE26" s="1"/>
      <c r="AF26" s="1"/>
      <c r="AG26" s="1"/>
      <c r="AH26" s="1"/>
      <c r="AI26" s="4"/>
      <c r="AJ26" s="1">
        <f>(1/7)*SUM(W45:AC45)</f>
        <v>0.14285714285714285</v>
      </c>
      <c r="AK26" s="1"/>
      <c r="AL26" s="1"/>
      <c r="AO26" s="1"/>
      <c r="AP26" s="33">
        <f>(1/(5-1))*AU13</f>
        <v>0.5714285714285714</v>
      </c>
      <c r="AQ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ht="15.5" x14ac:dyDescent="0.35">
      <c r="A27" s="1"/>
      <c r="B27" s="1"/>
      <c r="C27" s="1"/>
      <c r="D27" s="12" t="s">
        <v>37</v>
      </c>
      <c r="E27" s="7">
        <v>18.5</v>
      </c>
      <c r="F27" s="7">
        <v>32</v>
      </c>
      <c r="G27" s="13">
        <v>2310</v>
      </c>
      <c r="H27" s="7">
        <v>8</v>
      </c>
      <c r="I27" s="7">
        <v>1000</v>
      </c>
      <c r="J27" s="13">
        <v>11500</v>
      </c>
      <c r="K27" s="7">
        <v>1.65</v>
      </c>
      <c r="L27" s="1"/>
      <c r="N27" s="1"/>
      <c r="O27" s="4">
        <f>E26-E27</f>
        <v>-8</v>
      </c>
      <c r="P27" s="1"/>
      <c r="Q27" s="1"/>
      <c r="R27" s="4">
        <f>I27-I26</f>
        <v>488</v>
      </c>
      <c r="S27" s="4"/>
      <c r="T27" s="4"/>
      <c r="U27" s="4"/>
      <c r="V27" s="3" t="s">
        <v>67</v>
      </c>
      <c r="W27" s="2">
        <f t="shared" si="0"/>
        <v>-6.5</v>
      </c>
      <c r="X27" s="2">
        <f t="shared" si="1"/>
        <v>16</v>
      </c>
      <c r="Y27" s="8">
        <f t="shared" si="2"/>
        <v>500</v>
      </c>
      <c r="Z27" s="8">
        <f t="shared" si="3"/>
        <v>-1</v>
      </c>
      <c r="AA27" s="2">
        <f t="shared" si="4"/>
        <v>488</v>
      </c>
      <c r="AB27" s="8">
        <f t="shared" si="5"/>
        <v>9120</v>
      </c>
      <c r="AC27" s="19">
        <f t="shared" si="6"/>
        <v>-0.25</v>
      </c>
      <c r="AD27" s="1"/>
      <c r="AK27" s="1"/>
      <c r="AL27" s="1"/>
      <c r="AM27" s="1"/>
      <c r="AN27" s="1"/>
      <c r="AQ27" s="4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ht="15.5" x14ac:dyDescent="0.35">
      <c r="A28" s="1"/>
      <c r="B28" s="1"/>
      <c r="C28" s="1"/>
      <c r="D28" s="3" t="s">
        <v>38</v>
      </c>
      <c r="E28" s="2">
        <v>17</v>
      </c>
      <c r="F28" s="2">
        <v>16</v>
      </c>
      <c r="G28" s="8">
        <v>3100</v>
      </c>
      <c r="H28" s="2">
        <v>15</v>
      </c>
      <c r="I28" s="2">
        <v>512</v>
      </c>
      <c r="J28" s="8">
        <v>8750</v>
      </c>
      <c r="K28" s="2">
        <v>1.24</v>
      </c>
      <c r="L28" s="1"/>
      <c r="N28" s="1"/>
      <c r="O28" s="4">
        <f>E28-E27</f>
        <v>-1.5</v>
      </c>
      <c r="P28" s="1"/>
      <c r="Q28" s="1"/>
      <c r="R28" s="4">
        <f>I27-I28</f>
        <v>488</v>
      </c>
      <c r="S28" s="4"/>
      <c r="T28" s="4"/>
      <c r="U28" s="4"/>
      <c r="V28" s="3" t="s">
        <v>68</v>
      </c>
      <c r="W28" s="2">
        <f t="shared" si="0"/>
        <v>-8</v>
      </c>
      <c r="X28" s="2">
        <f t="shared" si="1"/>
        <v>16</v>
      </c>
      <c r="Y28" s="8">
        <f t="shared" si="2"/>
        <v>495</v>
      </c>
      <c r="Z28" s="8">
        <f t="shared" si="3"/>
        <v>-1.5</v>
      </c>
      <c r="AA28" s="2">
        <f t="shared" si="4"/>
        <v>488</v>
      </c>
      <c r="AB28" s="8">
        <f t="shared" si="5"/>
        <v>9090</v>
      </c>
      <c r="AC28" s="19">
        <f t="shared" si="6"/>
        <v>-0.39999999999999991</v>
      </c>
      <c r="AD28" s="1"/>
      <c r="AE28" s="1"/>
      <c r="AF28" s="1"/>
      <c r="AG28" s="1"/>
      <c r="AH28" s="1"/>
      <c r="AI28" s="4"/>
      <c r="AJ28" s="1">
        <f>(1/7)*SUM(W46:AC46)</f>
        <v>0.42857142857142855</v>
      </c>
      <c r="AK28" s="1"/>
      <c r="AL28" s="1"/>
      <c r="AM28" s="1"/>
      <c r="AN28" s="1"/>
      <c r="AO28" s="1" t="s">
        <v>30</v>
      </c>
      <c r="AP28" s="1"/>
      <c r="AQ28" s="4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ht="15.5" x14ac:dyDescent="0.35">
      <c r="A29" s="1"/>
      <c r="B29" s="1"/>
      <c r="C29" s="1"/>
      <c r="D29" s="11"/>
      <c r="E29" s="4"/>
      <c r="F29" s="4"/>
      <c r="G29" s="14"/>
      <c r="H29" s="4"/>
      <c r="I29" s="4"/>
      <c r="J29" s="14"/>
      <c r="K29" s="4"/>
      <c r="L29" s="1"/>
      <c r="N29" s="1"/>
      <c r="O29" s="15">
        <f>E24-E28</f>
        <v>-6</v>
      </c>
      <c r="P29" s="9"/>
      <c r="Q29" s="1"/>
      <c r="R29" s="15">
        <f>I28-I24</f>
        <v>0</v>
      </c>
      <c r="S29" s="15"/>
      <c r="T29" s="15"/>
      <c r="U29" s="15"/>
      <c r="V29" s="3" t="s">
        <v>69</v>
      </c>
      <c r="W29" s="2">
        <f t="shared" si="0"/>
        <v>-1.5</v>
      </c>
      <c r="X29" s="2">
        <f t="shared" si="1"/>
        <v>16</v>
      </c>
      <c r="Y29" s="8">
        <f t="shared" si="2"/>
        <v>-790</v>
      </c>
      <c r="Z29" s="8">
        <f t="shared" si="3"/>
        <v>-7</v>
      </c>
      <c r="AA29" s="2">
        <f t="shared" si="4"/>
        <v>488</v>
      </c>
      <c r="AB29" s="8">
        <f t="shared" si="5"/>
        <v>2750</v>
      </c>
      <c r="AC29" s="19">
        <f t="shared" si="6"/>
        <v>-0.40999999999999992</v>
      </c>
      <c r="AD29" s="1"/>
      <c r="AE29" s="1"/>
      <c r="AF29" s="1"/>
      <c r="AG29" s="1"/>
      <c r="AH29" s="1"/>
      <c r="AI29" s="4"/>
      <c r="AJ29" s="1"/>
      <c r="AK29" s="1"/>
      <c r="AL29" s="1"/>
      <c r="AM29" s="1"/>
      <c r="AN29" s="1"/>
      <c r="AO29" s="1"/>
      <c r="AP29" s="1"/>
      <c r="AQ29" s="4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ht="15.5" x14ac:dyDescent="0.35">
      <c r="A30" s="1"/>
      <c r="B30" s="1"/>
      <c r="C30" s="1"/>
      <c r="N30" s="1"/>
      <c r="O30" s="4">
        <f>E25-E28</f>
        <v>-5</v>
      </c>
      <c r="P30" s="1"/>
      <c r="Q30" s="1"/>
      <c r="R30" s="4">
        <f>I28-I25</f>
        <v>0</v>
      </c>
      <c r="S30" s="4"/>
      <c r="T30" s="4"/>
      <c r="U30" s="4"/>
      <c r="V30" s="3" t="s">
        <v>70</v>
      </c>
      <c r="W30" s="2">
        <f t="shared" si="0"/>
        <v>-6</v>
      </c>
      <c r="X30" s="2">
        <f t="shared" si="1"/>
        <v>0</v>
      </c>
      <c r="Y30" s="8">
        <f t="shared" si="2"/>
        <v>1280</v>
      </c>
      <c r="Z30" s="8">
        <f t="shared" si="3"/>
        <v>7</v>
      </c>
      <c r="AA30" s="2">
        <f t="shared" si="4"/>
        <v>0</v>
      </c>
      <c r="AB30" s="8">
        <f t="shared" si="5"/>
        <v>6300</v>
      </c>
      <c r="AC30" s="19">
        <f t="shared" si="6"/>
        <v>0.20999999999999996</v>
      </c>
      <c r="AD30" s="1"/>
      <c r="AE30" s="1"/>
      <c r="AF30" s="1"/>
      <c r="AG30" s="1"/>
      <c r="AH30" s="1"/>
      <c r="AI30" s="4"/>
      <c r="AJ30" s="1">
        <f>(1/7)*SUM(W47:AC47)</f>
        <v>0.71428571428571419</v>
      </c>
      <c r="AK30" s="1"/>
      <c r="AL30" s="1"/>
      <c r="AM30" s="1"/>
      <c r="AN30" s="1"/>
      <c r="AO30" s="1"/>
      <c r="AP30" s="33">
        <f>(1/(5-1))*AP14</f>
        <v>0.46428571428571425</v>
      </c>
      <c r="AQ30" s="4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15.5" x14ac:dyDescent="0.35">
      <c r="A31" s="1"/>
      <c r="B31" s="1"/>
      <c r="N31" s="1"/>
      <c r="O31" s="4">
        <f>E26-E28</f>
        <v>-6.5</v>
      </c>
      <c r="P31" s="1"/>
      <c r="Q31" s="1"/>
      <c r="R31" s="4">
        <f>I28-I26</f>
        <v>0</v>
      </c>
      <c r="S31" s="4"/>
      <c r="T31" s="4"/>
      <c r="U31" s="4"/>
      <c r="V31" s="3" t="s">
        <v>71</v>
      </c>
      <c r="W31" s="2">
        <f t="shared" si="0"/>
        <v>-5</v>
      </c>
      <c r="X31" s="2">
        <f t="shared" si="1"/>
        <v>0</v>
      </c>
      <c r="Y31" s="8">
        <f t="shared" si="2"/>
        <v>1290</v>
      </c>
      <c r="Z31" s="8">
        <f t="shared" si="3"/>
        <v>6</v>
      </c>
      <c r="AA31" s="2">
        <f t="shared" si="4"/>
        <v>0</v>
      </c>
      <c r="AB31" s="8">
        <f t="shared" si="5"/>
        <v>6370</v>
      </c>
      <c r="AC31" s="19">
        <f t="shared" si="6"/>
        <v>0.15999999999999992</v>
      </c>
      <c r="AD31" s="1"/>
      <c r="AE31" s="1"/>
      <c r="AF31" s="1"/>
      <c r="AG31" s="1"/>
      <c r="AH31" s="1"/>
      <c r="AI31" s="4"/>
      <c r="AJ31" s="1"/>
      <c r="AK31" s="1"/>
      <c r="AL31" s="1"/>
      <c r="AM31" s="1"/>
      <c r="AN31" s="1"/>
      <c r="AO31" s="1"/>
      <c r="AP31" s="4"/>
      <c r="AQ31" s="4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ht="15.5" x14ac:dyDescent="0.35">
      <c r="A32" s="1"/>
      <c r="B32" s="1"/>
      <c r="N32" s="1"/>
      <c r="O32" s="4">
        <f>E27-E28</f>
        <v>1.5</v>
      </c>
      <c r="P32" s="1"/>
      <c r="Q32" s="1"/>
      <c r="R32" s="4">
        <f>I28-I27</f>
        <v>-488</v>
      </c>
      <c r="S32" s="4"/>
      <c r="T32" s="4"/>
      <c r="U32" s="4"/>
      <c r="V32" s="3" t="s">
        <v>72</v>
      </c>
      <c r="W32" s="2">
        <f t="shared" si="0"/>
        <v>-6.5</v>
      </c>
      <c r="X32" s="2">
        <f t="shared" si="1"/>
        <v>0</v>
      </c>
      <c r="Y32" s="8">
        <f t="shared" si="2"/>
        <v>1285</v>
      </c>
      <c r="Z32" s="8">
        <f t="shared" si="3"/>
        <v>5.5</v>
      </c>
      <c r="AA32" s="2">
        <f t="shared" si="4"/>
        <v>0</v>
      </c>
      <c r="AB32" s="8">
        <f t="shared" si="5"/>
        <v>6340</v>
      </c>
      <c r="AC32" s="19">
        <f t="shared" si="6"/>
        <v>1.0000000000000009E-2</v>
      </c>
      <c r="AD32" s="1"/>
      <c r="AE32" s="1"/>
      <c r="AF32" s="1"/>
      <c r="AG32" s="1"/>
      <c r="AH32" s="1"/>
      <c r="AI32" s="4"/>
      <c r="AJ32" s="1">
        <f>(1/7)*SUM(W48:AC48)</f>
        <v>0.42857142857142855</v>
      </c>
      <c r="AK32" s="1"/>
      <c r="AL32" s="1"/>
      <c r="AM32" s="1"/>
      <c r="AO32" s="1"/>
      <c r="AP32" s="33">
        <f>(1/(5-1))*AQ14</f>
        <v>0.5714285714285714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ht="15.5" x14ac:dyDescent="0.35">
      <c r="A33" s="1"/>
      <c r="B33" s="1"/>
      <c r="C33" s="1"/>
      <c r="V33" s="3" t="s">
        <v>73</v>
      </c>
      <c r="W33" s="2">
        <f t="shared" si="0"/>
        <v>1.5</v>
      </c>
      <c r="X33" s="2">
        <f t="shared" si="1"/>
        <v>-16</v>
      </c>
      <c r="Y33" s="8">
        <f t="shared" si="2"/>
        <v>790</v>
      </c>
      <c r="Z33" s="8">
        <f t="shared" si="3"/>
        <v>7</v>
      </c>
      <c r="AA33" s="2">
        <f t="shared" si="4"/>
        <v>-488</v>
      </c>
      <c r="AB33" s="8">
        <f t="shared" si="5"/>
        <v>-2750</v>
      </c>
      <c r="AC33" s="19">
        <f t="shared" si="6"/>
        <v>0.40999999999999992</v>
      </c>
      <c r="AD33" s="1"/>
      <c r="AE33" s="1"/>
      <c r="AF33" s="1"/>
      <c r="AG33" s="1"/>
      <c r="AH33" s="1"/>
      <c r="AI33" s="4"/>
      <c r="AJ33" s="1"/>
      <c r="AK33" s="1"/>
      <c r="AL33" s="1"/>
      <c r="AM33" s="1"/>
      <c r="AO33" s="1"/>
      <c r="AP33" s="4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ht="15.5" x14ac:dyDescent="0.35">
      <c r="A34" s="1"/>
      <c r="B34" s="1"/>
      <c r="N34" s="21" t="s">
        <v>58</v>
      </c>
      <c r="O34" s="21"/>
      <c r="Q34" s="21" t="s">
        <v>75</v>
      </c>
      <c r="R34" s="21"/>
      <c r="S34" s="10"/>
      <c r="T34" s="10"/>
      <c r="U34" s="10"/>
      <c r="V34" s="10"/>
      <c r="W34" s="10"/>
      <c r="X34" s="10"/>
      <c r="Y34" s="10"/>
      <c r="Z34" s="10"/>
      <c r="AA34" s="10"/>
      <c r="AD34" s="1"/>
      <c r="AE34" s="1"/>
      <c r="AF34" s="1"/>
      <c r="AG34" s="1"/>
      <c r="AH34" s="1"/>
      <c r="AI34" s="4"/>
      <c r="AJ34" s="1">
        <f>(1/7)*SUM(W49:AC49)</f>
        <v>0.14285714285714285</v>
      </c>
      <c r="AK34" s="1"/>
      <c r="AL34" s="1"/>
      <c r="AM34" s="1"/>
      <c r="AO34" s="1"/>
      <c r="AP34" s="33">
        <f>(1/(5-1))*AR14</f>
        <v>0.3571428571428571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ht="15.5" x14ac:dyDescent="0.35">
      <c r="A35" s="1"/>
      <c r="B35" s="1"/>
      <c r="N35" s="1"/>
      <c r="O35" s="15">
        <f>F24-F25</f>
        <v>0</v>
      </c>
      <c r="P35" s="1"/>
      <c r="Q35" s="1"/>
      <c r="R35" s="16">
        <f>J24-J25</f>
        <v>70</v>
      </c>
      <c r="S35" s="16"/>
      <c r="T35" s="21" t="s">
        <v>78</v>
      </c>
      <c r="U35" s="21"/>
      <c r="V35" s="21"/>
      <c r="W35" s="1"/>
      <c r="X35" s="1"/>
      <c r="Y35" s="1"/>
      <c r="Z35" s="1"/>
      <c r="AA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ht="15.5" x14ac:dyDescent="0.35">
      <c r="A36" s="1"/>
      <c r="B36" s="1"/>
      <c r="N36" s="1"/>
      <c r="O36" s="4">
        <f>F24-F26</f>
        <v>0</v>
      </c>
      <c r="P36" s="1"/>
      <c r="Q36" s="1"/>
      <c r="R36" s="14">
        <f>J24-J26</f>
        <v>40</v>
      </c>
      <c r="S36" s="14"/>
      <c r="T36" s="1"/>
      <c r="U36" s="1"/>
      <c r="V36" s="23" t="s">
        <v>10</v>
      </c>
      <c r="W36" s="25" t="s">
        <v>3</v>
      </c>
      <c r="X36" s="25"/>
      <c r="Y36" s="25"/>
      <c r="Z36" s="25"/>
      <c r="AA36" s="25"/>
      <c r="AB36" s="25"/>
      <c r="AC36" s="25"/>
      <c r="AD36" s="1"/>
      <c r="AE36" s="1"/>
      <c r="AF36" s="1"/>
      <c r="AG36" s="1"/>
      <c r="AH36" s="1"/>
      <c r="AI36" s="4"/>
      <c r="AJ36" s="1">
        <f>(1/7)*SUM(W50:AC50)</f>
        <v>0.5714285714285714</v>
      </c>
      <c r="AK36" s="1"/>
      <c r="AL36" s="1"/>
      <c r="AM36" s="1"/>
      <c r="AO36" s="1"/>
      <c r="AP36" s="33">
        <f>(1/(5-1))*AS14</f>
        <v>0.42857142857142855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ht="15.5" x14ac:dyDescent="0.35">
      <c r="A37" s="1"/>
      <c r="B37" s="1"/>
      <c r="N37" s="1"/>
      <c r="O37" s="4">
        <f>F24-F27</f>
        <v>-16</v>
      </c>
      <c r="P37" s="1"/>
      <c r="Q37" s="1"/>
      <c r="R37" s="14">
        <f>J24-J27</f>
        <v>-9050</v>
      </c>
      <c r="S37" s="14"/>
      <c r="T37" s="1"/>
      <c r="U37" s="1"/>
      <c r="V37" s="24"/>
      <c r="W37" s="3" t="s">
        <v>4</v>
      </c>
      <c r="X37" s="3" t="s">
        <v>5</v>
      </c>
      <c r="Y37" s="3" t="s">
        <v>6</v>
      </c>
      <c r="Z37" s="3" t="s">
        <v>7</v>
      </c>
      <c r="AA37" s="3" t="s">
        <v>8</v>
      </c>
      <c r="AB37" s="3" t="s">
        <v>42</v>
      </c>
      <c r="AC37" s="3" t="s">
        <v>43</v>
      </c>
      <c r="AD37" s="1"/>
      <c r="AE37" s="1"/>
      <c r="AF37" s="1"/>
      <c r="AG37" s="1"/>
      <c r="AH37" s="1"/>
      <c r="AI37" s="4"/>
      <c r="AJ37" s="1"/>
      <c r="AK37" s="1"/>
      <c r="AL37" s="1"/>
      <c r="AM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15.5" x14ac:dyDescent="0.35">
      <c r="A38" s="1"/>
      <c r="B38" s="1"/>
      <c r="N38" s="1"/>
      <c r="O38" s="4">
        <f>F24-F28</f>
        <v>0</v>
      </c>
      <c r="P38" s="1"/>
      <c r="Q38" s="1"/>
      <c r="R38" s="14">
        <f>J24-J28</f>
        <v>-6300</v>
      </c>
      <c r="S38" s="14"/>
      <c r="T38" s="1"/>
      <c r="U38" s="1"/>
      <c r="V38" s="3" t="s">
        <v>16</v>
      </c>
      <c r="W38" s="2">
        <f t="shared" ref="W38:AB38" si="7">IF(W14&lt;=0, 0, 1)</f>
        <v>1</v>
      </c>
      <c r="X38" s="2">
        <f t="shared" si="7"/>
        <v>0</v>
      </c>
      <c r="Y38" s="2">
        <f t="shared" si="7"/>
        <v>1</v>
      </c>
      <c r="Z38" s="2">
        <f t="shared" si="7"/>
        <v>0</v>
      </c>
      <c r="AA38" s="2">
        <f t="shared" si="7"/>
        <v>0</v>
      </c>
      <c r="AB38" s="2">
        <f t="shared" si="7"/>
        <v>1</v>
      </c>
      <c r="AC38" s="2">
        <f t="shared" ref="AC38" si="8">IF(AC14&lt;=0, 0, 1)</f>
        <v>0</v>
      </c>
      <c r="AD38" s="1"/>
      <c r="AE38" s="1"/>
      <c r="AF38" s="1"/>
      <c r="AG38" s="1"/>
      <c r="AH38" s="1"/>
      <c r="AI38" s="4"/>
      <c r="AJ38" s="1">
        <f>(1/7)*SUM(W51:AC51)</f>
        <v>0.5714285714285714</v>
      </c>
      <c r="AK38" s="1"/>
      <c r="AL38" s="1"/>
      <c r="AM38" s="1"/>
      <c r="AN38" s="1"/>
      <c r="AO38" s="1"/>
      <c r="AP38" s="33">
        <f>(1/(5-1))*AT14</f>
        <v>0.21428571428571427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ht="15.5" x14ac:dyDescent="0.35">
      <c r="A39" s="1"/>
      <c r="B39" s="1"/>
      <c r="C39" s="1"/>
      <c r="N39" s="1"/>
      <c r="O39" s="15">
        <f>F25-F24</f>
        <v>0</v>
      </c>
      <c r="P39" s="1"/>
      <c r="Q39" s="1"/>
      <c r="R39" s="16">
        <f>J25-J24</f>
        <v>-70</v>
      </c>
      <c r="S39" s="16"/>
      <c r="T39" s="1"/>
      <c r="U39" s="1"/>
      <c r="V39" s="3" t="s">
        <v>17</v>
      </c>
      <c r="W39" s="2">
        <f t="shared" ref="W39:AA43" si="9">IF(W15&lt;=0, 0, 1)</f>
        <v>0</v>
      </c>
      <c r="X39" s="2">
        <f t="shared" si="9"/>
        <v>0</v>
      </c>
      <c r="Y39" s="2">
        <f t="shared" si="9"/>
        <v>1</v>
      </c>
      <c r="Z39" s="2">
        <f t="shared" si="9"/>
        <v>0</v>
      </c>
      <c r="AA39" s="2">
        <f t="shared" si="9"/>
        <v>0</v>
      </c>
      <c r="AB39" s="2">
        <f t="shared" ref="AB39:AC57" si="10">IF(AB15&lt;=0, 0, 1)</f>
        <v>1</v>
      </c>
      <c r="AC39" s="2">
        <f t="shared" si="10"/>
        <v>0</v>
      </c>
      <c r="AD39" s="1"/>
      <c r="AE39" s="1"/>
      <c r="AF39" s="1"/>
      <c r="AG39" s="1"/>
      <c r="AH39" s="1"/>
      <c r="AI39" s="4"/>
      <c r="AJ39" s="1"/>
      <c r="AK39" s="1"/>
      <c r="AL39" s="1"/>
      <c r="AM39" s="1"/>
      <c r="AN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ht="15.5" x14ac:dyDescent="0.35">
      <c r="A40" s="1"/>
      <c r="B40" s="1"/>
      <c r="C40" s="1"/>
      <c r="N40" s="1"/>
      <c r="O40" s="4">
        <f>F25-F26</f>
        <v>0</v>
      </c>
      <c r="P40" s="1"/>
      <c r="Q40" s="1"/>
      <c r="R40" s="14">
        <f>J25-J26</f>
        <v>-30</v>
      </c>
      <c r="S40" s="14"/>
      <c r="T40" s="1"/>
      <c r="U40" s="1"/>
      <c r="V40" s="3" t="s">
        <v>60</v>
      </c>
      <c r="W40" s="2">
        <f t="shared" si="9"/>
        <v>1</v>
      </c>
      <c r="X40" s="2">
        <f t="shared" si="9"/>
        <v>0</v>
      </c>
      <c r="Y40" s="2">
        <f t="shared" si="9"/>
        <v>0</v>
      </c>
      <c r="Z40" s="2">
        <f t="shared" si="9"/>
        <v>0</v>
      </c>
      <c r="AA40" s="2">
        <f t="shared" si="9"/>
        <v>0</v>
      </c>
      <c r="AB40" s="2">
        <f t="shared" si="10"/>
        <v>0</v>
      </c>
      <c r="AC40" s="2">
        <f t="shared" si="10"/>
        <v>1</v>
      </c>
      <c r="AD40" s="1"/>
      <c r="AE40" s="1"/>
      <c r="AF40" s="1"/>
      <c r="AG40" s="1"/>
      <c r="AH40" s="1"/>
      <c r="AI40" s="4"/>
      <c r="AJ40" s="1">
        <f>(1/7)*SUM(W52:AC52)</f>
        <v>0.5714285714285714</v>
      </c>
      <c r="AK40" s="1"/>
      <c r="AL40" s="1"/>
      <c r="AM40" s="1"/>
      <c r="AN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ht="15.5" x14ac:dyDescent="0.35">
      <c r="A41" s="1"/>
      <c r="B41" s="1"/>
      <c r="C41" s="1"/>
      <c r="N41" s="1"/>
      <c r="O41" s="4">
        <f>F25-F27</f>
        <v>-16</v>
      </c>
      <c r="P41" s="1"/>
      <c r="Q41" s="1"/>
      <c r="R41" s="14">
        <f>J25-J27</f>
        <v>-9120</v>
      </c>
      <c r="S41" s="14"/>
      <c r="T41" s="1"/>
      <c r="U41" s="1"/>
      <c r="V41" s="3" t="s">
        <v>61</v>
      </c>
      <c r="W41" s="2">
        <f t="shared" si="9"/>
        <v>1</v>
      </c>
      <c r="X41" s="2">
        <f t="shared" si="9"/>
        <v>0</v>
      </c>
      <c r="Y41" s="2">
        <f t="shared" si="9"/>
        <v>0</v>
      </c>
      <c r="Z41" s="2">
        <f t="shared" si="9"/>
        <v>0</v>
      </c>
      <c r="AA41" s="2">
        <f t="shared" si="9"/>
        <v>0</v>
      </c>
      <c r="AB41" s="2">
        <f t="shared" si="10"/>
        <v>0</v>
      </c>
      <c r="AC41" s="2">
        <f t="shared" si="10"/>
        <v>0</v>
      </c>
      <c r="AD41" s="1"/>
      <c r="AE41" s="1"/>
      <c r="AF41" s="1"/>
      <c r="AG41" s="1"/>
      <c r="AH41" s="1"/>
      <c r="AI41" s="4"/>
      <c r="AJ41" s="1"/>
      <c r="AK41" s="1"/>
      <c r="AL41" s="1"/>
      <c r="AM41" s="1"/>
      <c r="AN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ht="15.5" x14ac:dyDescent="0.35">
      <c r="A42" s="1"/>
      <c r="B42" s="1"/>
      <c r="C42" s="1"/>
      <c r="N42" s="1"/>
      <c r="O42" s="4">
        <f>F25-F28</f>
        <v>0</v>
      </c>
      <c r="P42" s="1"/>
      <c r="Q42" s="1"/>
      <c r="R42" s="14">
        <f>J25-J28</f>
        <v>-6370</v>
      </c>
      <c r="S42" s="14"/>
      <c r="T42" s="1"/>
      <c r="U42" s="1"/>
      <c r="V42" s="3" t="s">
        <v>18</v>
      </c>
      <c r="W42" s="2">
        <f t="shared" si="9"/>
        <v>0</v>
      </c>
      <c r="X42" s="2">
        <f t="shared" si="9"/>
        <v>0</v>
      </c>
      <c r="Y42" s="2">
        <f t="shared" si="9"/>
        <v>0</v>
      </c>
      <c r="Z42" s="2">
        <f t="shared" si="9"/>
        <v>1</v>
      </c>
      <c r="AA42" s="2">
        <f t="shared" si="9"/>
        <v>0</v>
      </c>
      <c r="AB42" s="2">
        <f t="shared" si="10"/>
        <v>0</v>
      </c>
      <c r="AC42" s="2">
        <f t="shared" si="10"/>
        <v>1</v>
      </c>
      <c r="AD42" s="1"/>
      <c r="AE42" s="1"/>
      <c r="AF42" s="1"/>
      <c r="AG42" s="1"/>
      <c r="AH42" s="1"/>
      <c r="AI42" s="4"/>
      <c r="AJ42" s="1">
        <f>(1/7)*SUM(W53:AC53)</f>
        <v>0.42857142857142855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ht="15.5" x14ac:dyDescent="0.35">
      <c r="A43" s="1"/>
      <c r="B43" s="1"/>
      <c r="C43" s="1"/>
      <c r="N43" s="1"/>
      <c r="O43" s="15">
        <f>F26-F24</f>
        <v>0</v>
      </c>
      <c r="P43" s="1"/>
      <c r="Q43" s="1"/>
      <c r="R43" s="16">
        <f>J26-J24</f>
        <v>-40</v>
      </c>
      <c r="S43" s="16"/>
      <c r="T43" s="1"/>
      <c r="U43" s="1"/>
      <c r="V43" s="3" t="s">
        <v>19</v>
      </c>
      <c r="W43" s="2">
        <f t="shared" si="9"/>
        <v>0</v>
      </c>
      <c r="X43" s="2">
        <f t="shared" si="9"/>
        <v>0</v>
      </c>
      <c r="Y43" s="2">
        <f t="shared" si="9"/>
        <v>0</v>
      </c>
      <c r="Z43" s="2">
        <f t="shared" si="9"/>
        <v>0</v>
      </c>
      <c r="AA43" s="2">
        <f t="shared" si="9"/>
        <v>0</v>
      </c>
      <c r="AB43" s="2">
        <f t="shared" si="10"/>
        <v>0</v>
      </c>
      <c r="AC43" s="2">
        <f t="shared" si="10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5.5" x14ac:dyDescent="0.35">
      <c r="A44" s="1"/>
      <c r="B44" s="1"/>
      <c r="C44" s="1"/>
      <c r="N44" s="1"/>
      <c r="O44" s="4">
        <f>F26-F25</f>
        <v>0</v>
      </c>
      <c r="P44" s="1"/>
      <c r="Q44" s="1"/>
      <c r="R44" s="14">
        <f>J26-J25</f>
        <v>30</v>
      </c>
      <c r="S44" s="14"/>
      <c r="T44" s="14"/>
      <c r="U44" s="14"/>
      <c r="V44" s="3" t="s">
        <v>62</v>
      </c>
      <c r="W44" s="2">
        <f t="shared" ref="W44:AA56" si="11">IF(W20&lt;=0, 0, 1)</f>
        <v>1</v>
      </c>
      <c r="X44" s="2">
        <f t="shared" si="11"/>
        <v>0</v>
      </c>
      <c r="Y44" s="2">
        <f t="shared" si="11"/>
        <v>0</v>
      </c>
      <c r="Z44" s="2">
        <f t="shared" si="11"/>
        <v>1</v>
      </c>
      <c r="AA44" s="2">
        <f t="shared" si="11"/>
        <v>0</v>
      </c>
      <c r="AB44" s="2">
        <f t="shared" si="10"/>
        <v>0</v>
      </c>
      <c r="AC44" s="2">
        <f t="shared" si="10"/>
        <v>1</v>
      </c>
      <c r="AD44" s="1"/>
      <c r="AE44" s="1"/>
      <c r="AF44" s="1"/>
      <c r="AG44" s="1"/>
      <c r="AH44" s="1"/>
      <c r="AI44" s="4"/>
      <c r="AJ44" s="1">
        <f>(1/7)*SUM(W54:AC54)</f>
        <v>0.5714285714285714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ht="15.5" x14ac:dyDescent="0.35">
      <c r="A45" s="1"/>
      <c r="B45" s="1"/>
      <c r="C45" s="1"/>
      <c r="N45" s="1"/>
      <c r="O45" s="4">
        <f>F26-F27</f>
        <v>-16</v>
      </c>
      <c r="P45" s="1"/>
      <c r="Q45" s="1"/>
      <c r="R45" s="14">
        <f>J26-J27</f>
        <v>-9090</v>
      </c>
      <c r="S45" s="14"/>
      <c r="T45" s="14"/>
      <c r="U45" s="14"/>
      <c r="V45" s="3" t="s">
        <v>63</v>
      </c>
      <c r="W45" s="2">
        <f t="shared" si="11"/>
        <v>1</v>
      </c>
      <c r="X45" s="2">
        <f t="shared" si="11"/>
        <v>0</v>
      </c>
      <c r="Y45" s="2">
        <f t="shared" si="11"/>
        <v>0</v>
      </c>
      <c r="Z45" s="2">
        <f t="shared" si="11"/>
        <v>0</v>
      </c>
      <c r="AA45" s="2">
        <f t="shared" si="11"/>
        <v>0</v>
      </c>
      <c r="AB45" s="2">
        <f t="shared" si="10"/>
        <v>0</v>
      </c>
      <c r="AC45" s="2">
        <f t="shared" si="10"/>
        <v>0</v>
      </c>
      <c r="AD45" s="1"/>
      <c r="AE45" s="1"/>
      <c r="AF45" s="1"/>
      <c r="AG45" s="1"/>
      <c r="AH45" s="1"/>
      <c r="AI45" s="4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5.5" x14ac:dyDescent="0.35">
      <c r="A46" s="1"/>
      <c r="B46" s="1"/>
      <c r="C46" s="1"/>
      <c r="N46" s="1"/>
      <c r="O46" s="4">
        <f>F26-F28</f>
        <v>0</v>
      </c>
      <c r="P46" s="1"/>
      <c r="Q46" s="1"/>
      <c r="R46" s="14">
        <f>J26-J28</f>
        <v>-6340</v>
      </c>
      <c r="S46" s="14"/>
      <c r="T46" s="14"/>
      <c r="U46" s="14"/>
      <c r="V46" s="3" t="s">
        <v>20</v>
      </c>
      <c r="W46" s="2">
        <f t="shared" si="11"/>
        <v>1</v>
      </c>
      <c r="X46" s="2">
        <f t="shared" si="11"/>
        <v>0</v>
      </c>
      <c r="Y46" s="2">
        <f t="shared" si="11"/>
        <v>0</v>
      </c>
      <c r="Z46" s="2">
        <f t="shared" si="11"/>
        <v>1</v>
      </c>
      <c r="AA46" s="2">
        <f t="shared" si="11"/>
        <v>0</v>
      </c>
      <c r="AB46" s="2">
        <f t="shared" si="10"/>
        <v>0</v>
      </c>
      <c r="AC46" s="2">
        <f t="shared" si="10"/>
        <v>1</v>
      </c>
      <c r="AD46" s="1"/>
      <c r="AE46" s="1"/>
      <c r="AF46" s="1"/>
      <c r="AG46" s="1"/>
      <c r="AH46" s="1"/>
      <c r="AI46" s="4"/>
      <c r="AJ46" s="1">
        <f>(1/7)*SUM(W55:AC55)</f>
        <v>0.5714285714285714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15.5" x14ac:dyDescent="0.35">
      <c r="A47" s="1"/>
      <c r="B47" s="1"/>
      <c r="C47" s="1"/>
      <c r="N47" s="1"/>
      <c r="O47" s="15">
        <f>F27-F24</f>
        <v>16</v>
      </c>
      <c r="P47" s="1"/>
      <c r="Q47" s="1"/>
      <c r="R47" s="16">
        <f>J27-J24</f>
        <v>9050</v>
      </c>
      <c r="S47" s="16"/>
      <c r="T47" s="16"/>
      <c r="U47" s="16"/>
      <c r="V47" s="3" t="s">
        <v>21</v>
      </c>
      <c r="W47" s="2">
        <f t="shared" si="11"/>
        <v>1</v>
      </c>
      <c r="X47" s="2">
        <f t="shared" si="11"/>
        <v>0</v>
      </c>
      <c r="Y47" s="2">
        <f t="shared" si="11"/>
        <v>1</v>
      </c>
      <c r="Z47" s="2">
        <f t="shared" si="11"/>
        <v>1</v>
      </c>
      <c r="AA47" s="2">
        <f t="shared" si="11"/>
        <v>0</v>
      </c>
      <c r="AB47" s="2">
        <f t="shared" si="10"/>
        <v>1</v>
      </c>
      <c r="AC47" s="2">
        <f t="shared" si="10"/>
        <v>1</v>
      </c>
      <c r="AD47" s="1"/>
      <c r="AE47" s="1"/>
      <c r="AF47" s="1"/>
      <c r="AG47" s="1"/>
      <c r="AH47" s="1"/>
      <c r="AI47" s="4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5.5" x14ac:dyDescent="0.35">
      <c r="A48" s="1"/>
      <c r="B48" s="1"/>
      <c r="C48" s="1"/>
      <c r="N48" s="1"/>
      <c r="O48" s="4">
        <f>F27-F25</f>
        <v>16</v>
      </c>
      <c r="P48" s="1"/>
      <c r="Q48" s="1"/>
      <c r="R48" s="14">
        <f>J27-J25</f>
        <v>9120</v>
      </c>
      <c r="S48" s="14"/>
      <c r="T48" s="14"/>
      <c r="U48" s="14"/>
      <c r="V48" s="3" t="s">
        <v>64</v>
      </c>
      <c r="W48" s="2">
        <f t="shared" si="11"/>
        <v>1</v>
      </c>
      <c r="X48" s="2">
        <f t="shared" si="11"/>
        <v>0</v>
      </c>
      <c r="Y48" s="2">
        <f t="shared" si="11"/>
        <v>0</v>
      </c>
      <c r="Z48" s="2">
        <f t="shared" si="11"/>
        <v>1</v>
      </c>
      <c r="AA48" s="2">
        <f t="shared" si="11"/>
        <v>0</v>
      </c>
      <c r="AB48" s="2">
        <f t="shared" si="10"/>
        <v>0</v>
      </c>
      <c r="AC48" s="2">
        <f t="shared" si="10"/>
        <v>1</v>
      </c>
      <c r="AE48" s="1"/>
      <c r="AF48" s="1"/>
      <c r="AG48" s="1"/>
      <c r="AH48" s="1"/>
      <c r="AI48" s="4"/>
      <c r="AJ48" s="1">
        <f>(1/7)*SUM(W56:AC56)</f>
        <v>0.5714285714285714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5.5" x14ac:dyDescent="0.35">
      <c r="A49" s="1"/>
      <c r="B49" s="1"/>
      <c r="C49" s="1"/>
      <c r="N49" s="1"/>
      <c r="O49" s="4">
        <f>F27-F26</f>
        <v>16</v>
      </c>
      <c r="P49" s="1"/>
      <c r="Q49" s="1"/>
      <c r="R49" s="14">
        <f>J27-J26</f>
        <v>9090</v>
      </c>
      <c r="S49" s="14"/>
      <c r="T49" s="14"/>
      <c r="U49" s="14"/>
      <c r="V49" s="3" t="s">
        <v>65</v>
      </c>
      <c r="W49" s="2">
        <f t="shared" si="11"/>
        <v>1</v>
      </c>
      <c r="X49" s="2">
        <f t="shared" si="11"/>
        <v>0</v>
      </c>
      <c r="Y49" s="2">
        <f t="shared" si="11"/>
        <v>0</v>
      </c>
      <c r="Z49" s="2">
        <f t="shared" si="11"/>
        <v>0</v>
      </c>
      <c r="AA49" s="2">
        <f t="shared" si="11"/>
        <v>0</v>
      </c>
      <c r="AB49" s="2">
        <f t="shared" si="10"/>
        <v>0</v>
      </c>
      <c r="AC49" s="2">
        <f t="shared" si="10"/>
        <v>0</v>
      </c>
      <c r="AE49" s="1"/>
      <c r="AF49" s="1"/>
      <c r="AG49" s="1"/>
      <c r="AH49" s="1"/>
      <c r="AI49" s="4"/>
      <c r="AJ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5.5" x14ac:dyDescent="0.35">
      <c r="A50" s="1"/>
      <c r="B50" s="1"/>
      <c r="C50" s="1"/>
      <c r="N50" s="1"/>
      <c r="O50" s="4">
        <f>F27-F28</f>
        <v>16</v>
      </c>
      <c r="Q50" s="1"/>
      <c r="R50" s="14">
        <f>J27-J28</f>
        <v>2750</v>
      </c>
      <c r="S50" s="14"/>
      <c r="T50" s="14"/>
      <c r="U50" s="14"/>
      <c r="V50" s="3" t="s">
        <v>66</v>
      </c>
      <c r="W50" s="2">
        <f t="shared" si="11"/>
        <v>0</v>
      </c>
      <c r="X50" s="2">
        <f t="shared" si="11"/>
        <v>1</v>
      </c>
      <c r="Y50" s="2">
        <f t="shared" si="11"/>
        <v>1</v>
      </c>
      <c r="Z50" s="2">
        <f t="shared" si="11"/>
        <v>0</v>
      </c>
      <c r="AA50" s="2">
        <f t="shared" si="11"/>
        <v>1</v>
      </c>
      <c r="AB50" s="2">
        <f t="shared" si="10"/>
        <v>1</v>
      </c>
      <c r="AC50" s="2">
        <f t="shared" si="10"/>
        <v>0</v>
      </c>
      <c r="AE50" s="1"/>
      <c r="AF50" s="1"/>
      <c r="AG50" s="1"/>
      <c r="AH50" s="1"/>
      <c r="AI50" s="4"/>
      <c r="AJ50" s="1">
        <f>(1/7)*SUM(W57:AC57)</f>
        <v>0.5714285714285714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5.5" x14ac:dyDescent="0.35">
      <c r="A51" s="1"/>
      <c r="B51" s="1"/>
      <c r="C51" s="1"/>
      <c r="N51" s="1"/>
      <c r="O51" s="15">
        <f>F28-F24</f>
        <v>0</v>
      </c>
      <c r="Q51" s="1"/>
      <c r="R51" s="16">
        <f>J28-J24</f>
        <v>6300</v>
      </c>
      <c r="S51" s="16"/>
      <c r="T51" s="16"/>
      <c r="U51" s="16"/>
      <c r="V51" s="3" t="s">
        <v>67</v>
      </c>
      <c r="W51" s="2">
        <f t="shared" si="11"/>
        <v>0</v>
      </c>
      <c r="X51" s="2">
        <f t="shared" si="11"/>
        <v>1</v>
      </c>
      <c r="Y51" s="2">
        <f t="shared" si="11"/>
        <v>1</v>
      </c>
      <c r="Z51" s="2">
        <f t="shared" si="11"/>
        <v>0</v>
      </c>
      <c r="AA51" s="2">
        <f t="shared" si="11"/>
        <v>1</v>
      </c>
      <c r="AB51" s="2">
        <f t="shared" si="10"/>
        <v>1</v>
      </c>
      <c r="AC51" s="2">
        <f t="shared" si="10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5.5" x14ac:dyDescent="0.35">
      <c r="A52" s="1"/>
      <c r="B52" s="1"/>
      <c r="C52" s="1"/>
      <c r="L52" s="1"/>
      <c r="N52" s="1"/>
      <c r="O52" s="4">
        <f>F28-F25</f>
        <v>0</v>
      </c>
      <c r="Q52" s="1"/>
      <c r="R52" s="14">
        <f>J28-J25</f>
        <v>6370</v>
      </c>
      <c r="S52" s="14"/>
      <c r="T52" s="14"/>
      <c r="U52" s="14"/>
      <c r="V52" s="3" t="s">
        <v>68</v>
      </c>
      <c r="W52" s="2">
        <f t="shared" si="11"/>
        <v>0</v>
      </c>
      <c r="X52" s="2">
        <f t="shared" si="11"/>
        <v>1</v>
      </c>
      <c r="Y52" s="2">
        <f t="shared" si="11"/>
        <v>1</v>
      </c>
      <c r="Z52" s="2">
        <f t="shared" si="11"/>
        <v>0</v>
      </c>
      <c r="AA52" s="2">
        <f t="shared" si="11"/>
        <v>1</v>
      </c>
      <c r="AB52" s="2">
        <f t="shared" si="10"/>
        <v>1</v>
      </c>
      <c r="AC52" s="2">
        <f t="shared" si="10"/>
        <v>0</v>
      </c>
      <c r="AE52" s="3" t="s">
        <v>10</v>
      </c>
      <c r="AF52" s="3" t="s">
        <v>11</v>
      </c>
      <c r="AG52" s="3" t="s">
        <v>12</v>
      </c>
      <c r="AH52" s="3" t="s">
        <v>13</v>
      </c>
      <c r="AI52" s="3" t="s">
        <v>37</v>
      </c>
      <c r="AJ52" s="3" t="s">
        <v>38</v>
      </c>
      <c r="AK52" s="30"/>
      <c r="AL52" s="30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5.5" x14ac:dyDescent="0.35">
      <c r="A53" s="1"/>
      <c r="B53" s="1"/>
      <c r="C53" s="1"/>
      <c r="L53" s="1"/>
      <c r="N53" s="1"/>
      <c r="O53" s="4">
        <f>F28-F26</f>
        <v>0</v>
      </c>
      <c r="Q53" s="1"/>
      <c r="R53" s="14">
        <f>J28-J26</f>
        <v>6340</v>
      </c>
      <c r="S53" s="14"/>
      <c r="T53" s="14"/>
      <c r="U53" s="14"/>
      <c r="V53" s="3" t="s">
        <v>69</v>
      </c>
      <c r="W53" s="2">
        <f t="shared" si="11"/>
        <v>0</v>
      </c>
      <c r="X53" s="2">
        <f t="shared" si="11"/>
        <v>1</v>
      </c>
      <c r="Y53" s="2">
        <f t="shared" si="11"/>
        <v>0</v>
      </c>
      <c r="Z53" s="2">
        <f t="shared" si="11"/>
        <v>0</v>
      </c>
      <c r="AA53" s="2">
        <f t="shared" si="11"/>
        <v>1</v>
      </c>
      <c r="AB53" s="2">
        <f t="shared" si="10"/>
        <v>1</v>
      </c>
      <c r="AC53" s="2">
        <f t="shared" si="10"/>
        <v>0</v>
      </c>
      <c r="AE53" s="3" t="s">
        <v>11</v>
      </c>
      <c r="AF53" s="20" t="s">
        <v>79</v>
      </c>
      <c r="AG53" s="2">
        <f>AJ12</f>
        <v>0.42857142857142855</v>
      </c>
      <c r="AH53" s="2">
        <f>AJ14</f>
        <v>0.2857142857142857</v>
      </c>
      <c r="AI53" s="2">
        <f>AJ16</f>
        <v>0.2857142857142857</v>
      </c>
      <c r="AJ53" s="2">
        <f>AJ18</f>
        <v>0.14285714285714285</v>
      </c>
      <c r="AK53" s="31"/>
      <c r="AL53" s="3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5.5" x14ac:dyDescent="0.35">
      <c r="A54" s="1"/>
      <c r="B54" s="1"/>
      <c r="C54" s="1"/>
      <c r="L54" s="1"/>
      <c r="N54" s="1"/>
      <c r="O54" s="4">
        <f>F28-F27</f>
        <v>-16</v>
      </c>
      <c r="Q54" s="1"/>
      <c r="R54" s="14">
        <f>J28-J27</f>
        <v>-2750</v>
      </c>
      <c r="S54" s="14"/>
      <c r="V54" s="3" t="s">
        <v>70</v>
      </c>
      <c r="W54" s="2">
        <f t="shared" si="11"/>
        <v>0</v>
      </c>
      <c r="X54" s="2">
        <f t="shared" si="11"/>
        <v>0</v>
      </c>
      <c r="Y54" s="2">
        <f t="shared" si="11"/>
        <v>1</v>
      </c>
      <c r="Z54" s="2">
        <f t="shared" si="11"/>
        <v>1</v>
      </c>
      <c r="AA54" s="2">
        <f t="shared" si="11"/>
        <v>0</v>
      </c>
      <c r="AB54" s="2">
        <f t="shared" si="10"/>
        <v>1</v>
      </c>
      <c r="AC54" s="2">
        <f t="shared" si="10"/>
        <v>1</v>
      </c>
      <c r="AE54" s="3" t="s">
        <v>12</v>
      </c>
      <c r="AF54" s="2">
        <f>AJ20</f>
        <v>0.2857142857142857</v>
      </c>
      <c r="AG54" s="2" t="s">
        <v>79</v>
      </c>
      <c r="AH54" s="2">
        <f>AJ22</f>
        <v>0</v>
      </c>
      <c r="AI54" s="2">
        <f>AJ24</f>
        <v>0.42857142857142855</v>
      </c>
      <c r="AJ54" s="2">
        <f>AJ26</f>
        <v>0.14285714285714285</v>
      </c>
      <c r="AK54" s="31"/>
      <c r="AL54" s="3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5.5" x14ac:dyDescent="0.35">
      <c r="A55" s="1"/>
      <c r="B55" s="1"/>
      <c r="C55" s="1"/>
      <c r="L55" s="1"/>
      <c r="V55" s="3" t="s">
        <v>71</v>
      </c>
      <c r="W55" s="2">
        <f t="shared" si="11"/>
        <v>0</v>
      </c>
      <c r="X55" s="2">
        <f t="shared" si="11"/>
        <v>0</v>
      </c>
      <c r="Y55" s="2">
        <f t="shared" si="11"/>
        <v>1</v>
      </c>
      <c r="Z55" s="2">
        <f t="shared" si="11"/>
        <v>1</v>
      </c>
      <c r="AA55" s="2">
        <f t="shared" si="11"/>
        <v>0</v>
      </c>
      <c r="AB55" s="2">
        <f t="shared" si="10"/>
        <v>1</v>
      </c>
      <c r="AC55" s="2">
        <f t="shared" si="10"/>
        <v>1</v>
      </c>
      <c r="AE55" s="3" t="s">
        <v>13</v>
      </c>
      <c r="AF55" s="2">
        <f>AJ28</f>
        <v>0.42857142857142855</v>
      </c>
      <c r="AG55" s="2">
        <f>AJ30</f>
        <v>0.71428571428571419</v>
      </c>
      <c r="AH55" s="2" t="s">
        <v>79</v>
      </c>
      <c r="AI55" s="2">
        <f>AJ32</f>
        <v>0.42857142857142855</v>
      </c>
      <c r="AJ55" s="2">
        <f>AJ34</f>
        <v>0.14285714285714285</v>
      </c>
      <c r="AK55" s="31"/>
      <c r="AL55" s="3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5.5" x14ac:dyDescent="0.35">
      <c r="A56" s="1"/>
      <c r="B56" s="1"/>
      <c r="C56" s="1"/>
      <c r="L56" s="1"/>
      <c r="N56" s="21" t="s">
        <v>59</v>
      </c>
      <c r="O56" s="21"/>
      <c r="Q56" s="21" t="s">
        <v>77</v>
      </c>
      <c r="R56" s="21"/>
      <c r="S56" s="10"/>
      <c r="V56" s="3" t="s">
        <v>72</v>
      </c>
      <c r="W56" s="2">
        <f t="shared" si="11"/>
        <v>0</v>
      </c>
      <c r="X56" s="2">
        <f t="shared" si="11"/>
        <v>0</v>
      </c>
      <c r="Y56" s="2">
        <f t="shared" si="11"/>
        <v>1</v>
      </c>
      <c r="Z56" s="2">
        <f t="shared" si="11"/>
        <v>1</v>
      </c>
      <c r="AA56" s="2">
        <f t="shared" si="11"/>
        <v>0</v>
      </c>
      <c r="AB56" s="2">
        <f t="shared" si="10"/>
        <v>1</v>
      </c>
      <c r="AC56" s="2">
        <f t="shared" si="10"/>
        <v>1</v>
      </c>
      <c r="AE56" s="12" t="s">
        <v>37</v>
      </c>
      <c r="AF56" s="7">
        <f>AJ36</f>
        <v>0.5714285714285714</v>
      </c>
      <c r="AG56" s="7">
        <f>AJ38</f>
        <v>0.5714285714285714</v>
      </c>
      <c r="AH56" s="7">
        <f>AJ40</f>
        <v>0.5714285714285714</v>
      </c>
      <c r="AI56" s="7" t="s">
        <v>79</v>
      </c>
      <c r="AJ56" s="2">
        <f>AJ42</f>
        <v>0.42857142857142855</v>
      </c>
      <c r="AK56" s="31"/>
      <c r="AL56" s="3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5.5" x14ac:dyDescent="0.35">
      <c r="A57" s="1"/>
      <c r="B57" s="1"/>
      <c r="C57" s="1"/>
      <c r="L57" s="1"/>
      <c r="N57" s="1"/>
      <c r="O57" s="16">
        <f>G24-G25</f>
        <v>10</v>
      </c>
      <c r="Q57" s="1"/>
      <c r="R57" s="17">
        <f>K25-K24</f>
        <v>-5.0000000000000044E-2</v>
      </c>
      <c r="S57" s="17"/>
      <c r="V57" s="3" t="s">
        <v>73</v>
      </c>
      <c r="W57" s="2">
        <f>IF(W33&lt;=0, 0, 1)</f>
        <v>1</v>
      </c>
      <c r="X57" s="2">
        <f t="shared" ref="X57:AA57" si="12">IF(X33&lt;=0, 0, 1)</f>
        <v>0</v>
      </c>
      <c r="Y57" s="2">
        <f t="shared" si="12"/>
        <v>1</v>
      </c>
      <c r="Z57" s="2">
        <f t="shared" si="12"/>
        <v>1</v>
      </c>
      <c r="AA57" s="2">
        <f t="shared" si="12"/>
        <v>0</v>
      </c>
      <c r="AB57" s="2">
        <f t="shared" si="10"/>
        <v>0</v>
      </c>
      <c r="AC57" s="2">
        <f>IF(AC33&lt;=0, 0, 1)</f>
        <v>1</v>
      </c>
      <c r="AE57" s="3" t="s">
        <v>38</v>
      </c>
      <c r="AF57" s="2">
        <f>AJ44</f>
        <v>0.5714285714285714</v>
      </c>
      <c r="AG57" s="2">
        <f>AJ46</f>
        <v>0.5714285714285714</v>
      </c>
      <c r="AH57" s="2">
        <f>AJ48</f>
        <v>0.5714285714285714</v>
      </c>
      <c r="AI57" s="2">
        <f>AJ50</f>
        <v>0.5714285714285714</v>
      </c>
      <c r="AJ57" s="2" t="s">
        <v>79</v>
      </c>
      <c r="AK57" s="31"/>
      <c r="AL57" s="3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5.5" x14ac:dyDescent="0.35">
      <c r="A58" s="1"/>
      <c r="B58" s="1"/>
      <c r="C58" s="1"/>
      <c r="L58" s="1"/>
      <c r="N58" s="1"/>
      <c r="O58" s="14">
        <f>G24-G26</f>
        <v>5</v>
      </c>
      <c r="Q58" s="1"/>
      <c r="R58" s="18">
        <f>K26-K24</f>
        <v>-0.19999999999999996</v>
      </c>
      <c r="S58" s="18"/>
      <c r="AE58" s="30"/>
      <c r="AF58" s="31"/>
      <c r="AG58" s="31"/>
      <c r="AH58" s="31"/>
      <c r="AI58" s="31"/>
      <c r="AJ58" s="31"/>
      <c r="AK58" s="31"/>
      <c r="AL58" s="3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1"/>
      <c r="O59" s="14">
        <f>G24-G27</f>
        <v>-490</v>
      </c>
      <c r="Q59" s="1"/>
      <c r="R59" s="18">
        <f>K27-K24</f>
        <v>0.19999999999999996</v>
      </c>
      <c r="S59" s="18"/>
      <c r="AE59" s="30"/>
      <c r="AF59" s="31"/>
      <c r="AG59" s="31"/>
      <c r="AH59" s="31"/>
      <c r="AI59" s="31"/>
      <c r="AJ59" s="31"/>
      <c r="AK59" s="31"/>
      <c r="AL59" s="3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5.5" x14ac:dyDescent="0.35">
      <c r="A60" s="1"/>
      <c r="B60" s="1"/>
      <c r="C60" s="1"/>
      <c r="L60" s="1"/>
      <c r="N60" s="1"/>
      <c r="O60" s="14">
        <f>G24-G28</f>
        <v>-1280</v>
      </c>
      <c r="Q60" s="1"/>
      <c r="R60" s="18">
        <f>K28-K24</f>
        <v>-0.20999999999999996</v>
      </c>
      <c r="S60" s="18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5.5" x14ac:dyDescent="0.35">
      <c r="A61" s="1"/>
      <c r="B61" s="1"/>
      <c r="C61" s="1"/>
      <c r="L61" s="1"/>
      <c r="N61" s="1"/>
      <c r="O61" s="16">
        <f>G25-G24</f>
        <v>-10</v>
      </c>
      <c r="Q61" s="1"/>
      <c r="R61" s="17">
        <f>K24-K25</f>
        <v>5.0000000000000044E-2</v>
      </c>
      <c r="S61" s="17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ht="15.5" x14ac:dyDescent="0.35">
      <c r="A62" s="1"/>
      <c r="B62" s="1"/>
      <c r="C62" s="1"/>
      <c r="L62" s="1"/>
      <c r="N62" s="1"/>
      <c r="O62" s="14">
        <f>G25-G26</f>
        <v>-5</v>
      </c>
      <c r="Q62" s="1"/>
      <c r="R62" s="18">
        <f>K26-K25</f>
        <v>-0.14999999999999991</v>
      </c>
      <c r="S62" s="18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ht="15.5" x14ac:dyDescent="0.35">
      <c r="A63" s="1"/>
      <c r="B63" s="1"/>
      <c r="C63" s="1"/>
      <c r="L63" s="1"/>
      <c r="N63" s="1"/>
      <c r="O63" s="14">
        <f>G25-G27</f>
        <v>-500</v>
      </c>
      <c r="Q63" s="1"/>
      <c r="R63" s="18">
        <f>K27-K25</f>
        <v>0.25</v>
      </c>
      <c r="S63" s="18"/>
      <c r="T63" s="18"/>
      <c r="U63" s="18"/>
      <c r="V63" s="18"/>
      <c r="W63" s="18"/>
      <c r="X63" s="18"/>
      <c r="Y63" s="18"/>
      <c r="Z63" s="18"/>
      <c r="AA63" s="18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ht="15.5" x14ac:dyDescent="0.35">
      <c r="A64" s="1"/>
      <c r="B64" s="1"/>
      <c r="C64" s="1"/>
      <c r="L64" s="1"/>
      <c r="N64" s="1"/>
      <c r="O64" s="14">
        <f>G25-G28</f>
        <v>-1290</v>
      </c>
      <c r="Q64" s="1"/>
      <c r="R64" s="18">
        <f>K28-K25</f>
        <v>-0.15999999999999992</v>
      </c>
      <c r="S64" s="18"/>
      <c r="T64" s="18"/>
      <c r="U64" s="18"/>
      <c r="V64" s="18"/>
      <c r="W64" s="18"/>
      <c r="X64" s="18"/>
      <c r="Y64" s="18"/>
      <c r="Z64" s="18"/>
      <c r="AA64" s="18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ht="15.5" x14ac:dyDescent="0.35">
      <c r="A65" s="1"/>
      <c r="B65" s="1"/>
      <c r="C65" s="1"/>
      <c r="L65" s="1"/>
      <c r="N65" s="1"/>
      <c r="O65" s="16">
        <f>G26-G24</f>
        <v>-5</v>
      </c>
      <c r="Q65" s="1"/>
      <c r="R65" s="17">
        <f>K24-K26</f>
        <v>0.19999999999999996</v>
      </c>
      <c r="S65" s="17"/>
      <c r="T65" s="17"/>
      <c r="U65" s="17"/>
      <c r="V65" s="17"/>
      <c r="W65" s="17"/>
      <c r="X65" s="17"/>
      <c r="Y65" s="17"/>
      <c r="Z65" s="17"/>
      <c r="AA65" s="17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ht="15.5" x14ac:dyDescent="0.35">
      <c r="A66" s="1"/>
      <c r="B66" s="1"/>
      <c r="C66" s="1"/>
      <c r="L66" s="1"/>
      <c r="N66" s="1"/>
      <c r="O66" s="14">
        <f>G26-G25</f>
        <v>5</v>
      </c>
      <c r="Q66" s="1"/>
      <c r="R66" s="18">
        <f>K25-K26</f>
        <v>0.14999999999999991</v>
      </c>
      <c r="S66" s="18"/>
      <c r="T66" s="18"/>
      <c r="U66" s="18"/>
      <c r="V66" s="18"/>
      <c r="W66" s="18"/>
      <c r="X66" s="18"/>
      <c r="Y66" s="18"/>
      <c r="Z66" s="18"/>
      <c r="AA66" s="18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5.5" x14ac:dyDescent="0.35">
      <c r="A67" s="1"/>
      <c r="B67" s="1"/>
      <c r="C67" s="1"/>
      <c r="L67" s="1"/>
      <c r="N67" s="1"/>
      <c r="O67" s="14">
        <f>G26-G27</f>
        <v>-495</v>
      </c>
      <c r="Q67" s="1"/>
      <c r="R67" s="18">
        <f>K27-K26</f>
        <v>0.39999999999999991</v>
      </c>
      <c r="S67" s="18"/>
      <c r="T67" s="18"/>
      <c r="U67" s="18"/>
      <c r="V67" s="18"/>
      <c r="W67" s="18"/>
      <c r="X67" s="18"/>
      <c r="Y67" s="18"/>
      <c r="Z67" s="18"/>
      <c r="AA67" s="18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ht="15.5" x14ac:dyDescent="0.35">
      <c r="A68" s="1"/>
      <c r="B68" s="1"/>
      <c r="C68" s="1"/>
      <c r="L68" s="1"/>
      <c r="N68" s="1"/>
      <c r="O68" s="14">
        <f>G26-G28</f>
        <v>-1285</v>
      </c>
      <c r="Q68" s="1"/>
      <c r="R68" s="18">
        <f>K28-K26</f>
        <v>-1.0000000000000009E-2</v>
      </c>
      <c r="S68" s="18"/>
      <c r="T68" s="18"/>
      <c r="U68" s="18"/>
      <c r="V68" s="18"/>
      <c r="W68" s="18"/>
      <c r="X68" s="18"/>
      <c r="Y68" s="18"/>
      <c r="Z68" s="18"/>
      <c r="AA68" s="18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N69" s="1"/>
      <c r="O69" s="16">
        <f>G27-G24</f>
        <v>490</v>
      </c>
      <c r="Q69" s="1"/>
      <c r="R69" s="17">
        <f>K24-K27</f>
        <v>-0.19999999999999996</v>
      </c>
      <c r="S69" s="17"/>
      <c r="T69" s="17"/>
      <c r="U69" s="17"/>
      <c r="V69" s="17"/>
      <c r="W69" s="17"/>
      <c r="X69" s="17"/>
      <c r="Y69" s="17"/>
      <c r="Z69" s="17"/>
      <c r="AA69" s="17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N70" s="1"/>
      <c r="O70" s="14">
        <f>G27-G25</f>
        <v>500</v>
      </c>
      <c r="Q70" s="1"/>
      <c r="R70" s="18">
        <f>K25-K27</f>
        <v>-0.25</v>
      </c>
      <c r="S70" s="18"/>
      <c r="T70" s="18"/>
      <c r="U70" s="18"/>
      <c r="V70" s="18"/>
      <c r="W70" s="18"/>
      <c r="X70" s="18"/>
      <c r="Y70" s="18"/>
      <c r="Z70" s="18"/>
      <c r="AA70" s="18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N71" s="1"/>
      <c r="O71" s="14">
        <f>G27-G26</f>
        <v>495</v>
      </c>
      <c r="Q71" s="1"/>
      <c r="R71" s="18">
        <f>K26-K27</f>
        <v>-0.39999999999999991</v>
      </c>
      <c r="S71" s="18"/>
      <c r="T71" s="18"/>
      <c r="U71" s="18"/>
      <c r="V71" s="18"/>
      <c r="W71" s="18"/>
      <c r="X71" s="18"/>
      <c r="Y71" s="18"/>
      <c r="Z71" s="18"/>
      <c r="AA71" s="18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4">
        <f>G27-G28</f>
        <v>-790</v>
      </c>
      <c r="P72" s="1"/>
      <c r="Q72" s="1"/>
      <c r="R72" s="18">
        <f>K28-K27</f>
        <v>-0.40999999999999992</v>
      </c>
      <c r="S72" s="18"/>
      <c r="T72" s="18"/>
      <c r="U72" s="18"/>
      <c r="V72" s="18"/>
      <c r="W72" s="18"/>
      <c r="X72" s="18"/>
      <c r="Y72" s="18"/>
      <c r="Z72" s="18"/>
      <c r="AA72" s="18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6">
        <f>G28-G24</f>
        <v>1280</v>
      </c>
      <c r="P73" s="1"/>
      <c r="Q73" s="1"/>
      <c r="R73" s="17">
        <f>K24-K28</f>
        <v>0.20999999999999996</v>
      </c>
      <c r="S73" s="17"/>
      <c r="T73" s="17"/>
      <c r="U73" s="17"/>
      <c r="V73" s="17"/>
      <c r="W73" s="17"/>
      <c r="X73" s="17"/>
      <c r="Y73" s="17"/>
      <c r="Z73" s="17"/>
      <c r="AA73" s="17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4">
        <f>G28-G25</f>
        <v>1290</v>
      </c>
      <c r="P74" s="1"/>
      <c r="Q74" s="1"/>
      <c r="R74" s="18">
        <f>K25-K28</f>
        <v>0.15999999999999992</v>
      </c>
      <c r="S74" s="18"/>
      <c r="T74" s="18"/>
      <c r="U74" s="18"/>
      <c r="V74" s="18"/>
      <c r="W74" s="18"/>
      <c r="X74" s="18"/>
      <c r="Y74" s="18"/>
      <c r="Z74" s="18"/>
      <c r="AA74" s="18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4">
        <f>G28-G26</f>
        <v>1285</v>
      </c>
      <c r="P75" s="1"/>
      <c r="Q75" s="1"/>
      <c r="R75" s="18">
        <f>K26-K28</f>
        <v>1.0000000000000009E-2</v>
      </c>
      <c r="S75" s="18"/>
      <c r="T75" s="18"/>
      <c r="U75" s="18"/>
      <c r="V75" s="18"/>
      <c r="W75" s="18"/>
      <c r="X75" s="18"/>
      <c r="Y75" s="18"/>
      <c r="Z75" s="18"/>
      <c r="AA75" s="18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4">
        <f>G28-G27</f>
        <v>790</v>
      </c>
      <c r="P76" s="1"/>
      <c r="Q76" s="1"/>
      <c r="R76" s="18">
        <f>K27-K28</f>
        <v>0.40999999999999992</v>
      </c>
      <c r="S76" s="18"/>
      <c r="T76" s="18"/>
      <c r="U76" s="18"/>
      <c r="V76" s="18"/>
      <c r="W76" s="18"/>
      <c r="X76" s="18"/>
      <c r="Y76" s="18"/>
      <c r="Z76" s="18"/>
      <c r="AA76" s="18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1" t="s">
        <v>74</v>
      </c>
      <c r="O78" s="2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6">
        <f>H24-H25</f>
        <v>-1</v>
      </c>
      <c r="P79" s="1"/>
      <c r="S79" s="10"/>
      <c r="T79" s="10"/>
      <c r="U79" s="10"/>
      <c r="V79" s="10"/>
      <c r="W79" s="10"/>
      <c r="X79" s="10"/>
      <c r="Y79" s="10"/>
      <c r="Z79" s="10"/>
      <c r="AA79" s="10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4">
        <f>H24-H26</f>
        <v>-1.5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4">
        <f>H24-H27</f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4">
        <f>H24-H28</f>
        <v>-7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6">
        <f>H25-H24</f>
        <v>1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4">
        <f>H25-H26</f>
        <v>-0.5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4">
        <f>H25-H27</f>
        <v>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4">
        <f>H25-H28</f>
        <v>-6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9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6">
        <f>H26-H24</f>
        <v>1.5</v>
      </c>
      <c r="P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9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4">
        <f>H26-H25</f>
        <v>0.5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9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4">
        <f>H26-H27</f>
        <v>1.5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9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4">
        <f>H26-H28</f>
        <v>-5.5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9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6">
        <f>H27-H24</f>
        <v>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9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4">
        <f>H27-H25</f>
        <v>-1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9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4">
        <f>H27-H26</f>
        <v>-1.5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9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4">
        <f>H27-H28</f>
        <v>-7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9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6">
        <f>H28-H24</f>
        <v>7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9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4">
        <f>H28-H25</f>
        <v>6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4">
        <f>H28-H26</f>
        <v>5.5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4">
        <f>H28-H27</f>
        <v>7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</sheetData>
  <mergeCells count="33">
    <mergeCell ref="D22:D23"/>
    <mergeCell ref="E12:F12"/>
    <mergeCell ref="E13:F13"/>
    <mergeCell ref="C4:D4"/>
    <mergeCell ref="E7:F7"/>
    <mergeCell ref="E8:F8"/>
    <mergeCell ref="E9:F9"/>
    <mergeCell ref="E10:F10"/>
    <mergeCell ref="E11:F11"/>
    <mergeCell ref="E6:F6"/>
    <mergeCell ref="E17:G17"/>
    <mergeCell ref="E18:G18"/>
    <mergeCell ref="E19:G19"/>
    <mergeCell ref="E20:G20"/>
    <mergeCell ref="E16:G16"/>
    <mergeCell ref="E15:G15"/>
    <mergeCell ref="N78:O78"/>
    <mergeCell ref="Q12:R12"/>
    <mergeCell ref="Q34:R34"/>
    <mergeCell ref="Q56:R56"/>
    <mergeCell ref="W36:AC36"/>
    <mergeCell ref="N56:O56"/>
    <mergeCell ref="T35:V35"/>
    <mergeCell ref="V36:V37"/>
    <mergeCell ref="N6:Q6"/>
    <mergeCell ref="N12:O12"/>
    <mergeCell ref="N34:O34"/>
    <mergeCell ref="AM6:AR6"/>
    <mergeCell ref="AX15:BE15"/>
    <mergeCell ref="T12:U12"/>
    <mergeCell ref="V12:V13"/>
    <mergeCell ref="AF6:AJ6"/>
    <mergeCell ref="W12:AC12"/>
  </mergeCells>
  <phoneticPr fontId="5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2026-05-10T08:11:57Z</dcterms:created>
  <dcterms:modified xsi:type="dcterms:W3CDTF">2026-05-28T11:40:07Z</dcterms:modified>
</cp:coreProperties>
</file>